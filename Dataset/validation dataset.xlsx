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d (2)\"/>
    </mc:Choice>
  </mc:AlternateContent>
  <xr:revisionPtr revIDLastSave="0" documentId="13_ncr:1_{35D3832C-4E6B-4631-9985-0FE4922FB538}" xr6:coauthVersionLast="47" xr6:coauthVersionMax="47" xr10:uidLastSave="{00000000-0000-0000-0000-000000000000}"/>
  <bookViews>
    <workbookView xWindow="-110" yWindow="-110" windowWidth="19420" windowHeight="10420" tabRatio="921" activeTab="3" xr2:uid="{00000000-000D-0000-FFFF-FFFF00000000}"/>
  </bookViews>
  <sheets>
    <sheet name="Val of regression models rural" sheetId="12" r:id="rId1"/>
    <sheet name="Val of regression models urban" sheetId="14" r:id="rId2"/>
    <sheet name="Val of HDM-4 model (GCF rural)" sheetId="18" r:id="rId3"/>
    <sheet name="Val of HDM-4 model (GCF urban)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6" i="19" l="1"/>
  <c r="W26" i="19"/>
  <c r="X15" i="19"/>
  <c r="W15" i="19"/>
  <c r="X4" i="19"/>
  <c r="W4" i="19"/>
  <c r="X37" i="18"/>
  <c r="W37" i="18"/>
  <c r="X26" i="18"/>
  <c r="W26" i="18"/>
  <c r="X15" i="18"/>
  <c r="W15" i="18"/>
  <c r="X4" i="18"/>
  <c r="W4" i="18"/>
  <c r="X37" i="14" l="1"/>
  <c r="W37" i="14"/>
  <c r="X26" i="14"/>
  <c r="W26" i="14"/>
  <c r="X15" i="14"/>
  <c r="W15" i="14"/>
  <c r="X4" i="14"/>
  <c r="W4" i="14"/>
  <c r="X37" i="12"/>
  <c r="W37" i="12"/>
  <c r="X26" i="12"/>
  <c r="W26" i="12"/>
  <c r="X15" i="12" l="1"/>
  <c r="W15" i="12"/>
  <c r="X4" i="12"/>
  <c r="W4" i="12"/>
  <c r="E3" i="18" a="1"/>
  <c r="E3" i="18" s="1"/>
  <c r="G25" i="19"/>
  <c r="I25" i="19" s="1"/>
  <c r="L25" i="19" s="1"/>
  <c r="F25" i="19"/>
  <c r="H25" i="19" s="1"/>
  <c r="J25" i="19" s="1"/>
  <c r="E25" i="19" a="1"/>
  <c r="E25" i="19" s="1"/>
  <c r="G14" i="19"/>
  <c r="I14" i="19" s="1"/>
  <c r="L14" i="19" s="1"/>
  <c r="F14" i="19"/>
  <c r="H14" i="19" s="1"/>
  <c r="J14" i="19" s="1"/>
  <c r="E14" i="19" a="1"/>
  <c r="E14" i="19" s="1"/>
  <c r="G3" i="19"/>
  <c r="I3" i="19" s="1"/>
  <c r="L3" i="19" s="1"/>
  <c r="F3" i="19"/>
  <c r="H3" i="19" s="1"/>
  <c r="J3" i="19" s="1"/>
  <c r="E3" i="19" a="1"/>
  <c r="E3" i="19" s="1"/>
  <c r="G36" i="18"/>
  <c r="I36" i="18" s="1"/>
  <c r="L36" i="18" s="1"/>
  <c r="F36" i="18"/>
  <c r="E36" i="18" a="1"/>
  <c r="E36" i="18" s="1"/>
  <c r="G25" i="18"/>
  <c r="I25" i="18" s="1"/>
  <c r="L25" i="18" s="1"/>
  <c r="F25" i="18"/>
  <c r="H25" i="18" s="1"/>
  <c r="E25" i="18" a="1"/>
  <c r="E25" i="18" s="1"/>
  <c r="G14" i="18"/>
  <c r="I14" i="18" s="1"/>
  <c r="L14" i="18" s="1"/>
  <c r="F14" i="18"/>
  <c r="H14" i="18" s="1"/>
  <c r="J14" i="18" s="1"/>
  <c r="E14" i="18" a="1"/>
  <c r="E14" i="18" s="1"/>
  <c r="G3" i="18"/>
  <c r="I3" i="18" s="1"/>
  <c r="L3" i="18" s="1"/>
  <c r="F3" i="18"/>
  <c r="H3" i="18" s="1"/>
  <c r="J3" i="18" s="1"/>
  <c r="G36" i="14"/>
  <c r="I36" i="14" s="1"/>
  <c r="L36" i="14" s="1"/>
  <c r="F36" i="14"/>
  <c r="H36" i="14" s="1"/>
  <c r="J36" i="14" s="1"/>
  <c r="E36" i="14" a="1"/>
  <c r="E36" i="14" s="1"/>
  <c r="E25" i="14" a="1"/>
  <c r="E25" i="14" s="1"/>
  <c r="G25" i="14"/>
  <c r="I25" i="14" s="1"/>
  <c r="L25" i="14" s="1"/>
  <c r="F25" i="14"/>
  <c r="E14" i="14" a="1"/>
  <c r="E14" i="14" s="1"/>
  <c r="G14" i="14"/>
  <c r="F14" i="14"/>
  <c r="G3" i="14"/>
  <c r="I3" i="14" s="1"/>
  <c r="L3" i="14" s="1"/>
  <c r="F3" i="14"/>
  <c r="E3" i="14" a="1"/>
  <c r="E3" i="14" s="1"/>
  <c r="G36" i="12"/>
  <c r="I36" i="12" s="1"/>
  <c r="L36" i="12" s="1"/>
  <c r="F36" i="12"/>
  <c r="E36" i="12" a="1"/>
  <c r="E36" i="12" s="1"/>
  <c r="E25" i="12" a="1"/>
  <c r="E25" i="12" s="1"/>
  <c r="G25" i="12"/>
  <c r="I25" i="12" s="1"/>
  <c r="L25" i="12" s="1"/>
  <c r="F25" i="12"/>
  <c r="H25" i="12" s="1"/>
  <c r="J25" i="12" s="1"/>
  <c r="E14" i="12" a="1"/>
  <c r="E14" i="12" s="1"/>
  <c r="G14" i="12"/>
  <c r="I14" i="12" s="1"/>
  <c r="L14" i="12" s="1"/>
  <c r="F14" i="12"/>
  <c r="E3" i="12" a="1"/>
  <c r="E3" i="12" s="1"/>
  <c r="F3" i="12"/>
  <c r="G3" i="12"/>
  <c r="I3" i="12" s="1"/>
  <c r="L3" i="12" s="1"/>
  <c r="H25" i="14" l="1"/>
  <c r="J25" i="14" s="1"/>
  <c r="H14" i="14"/>
  <c r="H3" i="12"/>
  <c r="J3" i="12" s="1"/>
  <c r="H36" i="18"/>
  <c r="J36" i="18" s="1"/>
  <c r="J25" i="18"/>
  <c r="H14" i="12"/>
  <c r="J14" i="12" s="1"/>
  <c r="I14" i="14"/>
  <c r="L14" i="14" s="1"/>
  <c r="H3" i="14"/>
  <c r="J3" i="14" s="1"/>
  <c r="H36" i="12"/>
  <c r="J36" i="12" s="1"/>
  <c r="J14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<sst xmlns="http://schemas.openxmlformats.org/spreadsheetml/2006/main" count="347" uniqueCount="34">
  <si>
    <t>Year</t>
  </si>
  <si>
    <t>Pavement Sections</t>
  </si>
  <si>
    <t>VS-R-1</t>
  </si>
  <si>
    <t>VS-R-2</t>
  </si>
  <si>
    <t>VS-R-3</t>
  </si>
  <si>
    <t>VS-R-4</t>
  </si>
  <si>
    <t>Observed Cracking %</t>
  </si>
  <si>
    <t>Predicted Cracking%</t>
  </si>
  <si>
    <t>Pearson’s Coefficient (r)</t>
  </si>
  <si>
    <t>No. of observations (N)</t>
  </si>
  <si>
    <r>
      <t>t</t>
    </r>
    <r>
      <rPr>
        <vertAlign val="subscript"/>
        <sz val="10"/>
        <color theme="1"/>
        <rFont val="Times New Roman"/>
        <family val="1"/>
      </rPr>
      <t>stat</t>
    </r>
  </si>
  <si>
    <t>Degree of freedom (N-2)</t>
  </si>
  <si>
    <t>P-value</t>
  </si>
  <si>
    <t>Level of significance (α)</t>
  </si>
  <si>
    <r>
      <t>t</t>
    </r>
    <r>
      <rPr>
        <vertAlign val="subscript"/>
        <sz val="10"/>
        <color theme="1"/>
        <rFont val="Times New Roman"/>
        <family val="1"/>
      </rPr>
      <t>critical</t>
    </r>
  </si>
  <si>
    <t>VS-U-1</t>
  </si>
  <si>
    <t>VS-U-2</t>
  </si>
  <si>
    <t>VS-U-3</t>
  </si>
  <si>
    <t>VS-U-4</t>
  </si>
  <si>
    <t>Remarks</t>
  </si>
  <si>
    <t>Observed Ravelling %</t>
  </si>
  <si>
    <t>Predicted Ravelling%</t>
  </si>
  <si>
    <t>Observed Potholes</t>
  </si>
  <si>
    <t>Predicted Potholes</t>
  </si>
  <si>
    <t>Observed Edge break (m2/km)</t>
  </si>
  <si>
    <t>Predicted Edge break (m2/km)</t>
  </si>
  <si>
    <t>Observed Rut depth, mm</t>
  </si>
  <si>
    <t>Predicted Rut depth, mm</t>
  </si>
  <si>
    <t>RMSE</t>
  </si>
  <si>
    <r>
      <t>t</t>
    </r>
    <r>
      <rPr>
        <vertAlign val="subscript"/>
        <sz val="10"/>
        <color theme="1"/>
        <rFont val="Times New Roman"/>
        <family val="1"/>
      </rPr>
      <t>stat</t>
    </r>
    <r>
      <rPr>
        <sz val="10"/>
        <color theme="1"/>
        <rFont val="Times New Roman"/>
        <family val="1"/>
      </rPr>
      <t>&gt; t</t>
    </r>
    <r>
      <rPr>
        <vertAlign val="subscript"/>
        <sz val="10"/>
        <color theme="1"/>
        <rFont val="Times New Roman"/>
        <family val="1"/>
      </rPr>
      <t>critical</t>
    </r>
  </si>
  <si>
    <t>P-value&lt;α</t>
  </si>
  <si>
    <t>Compare against Equality line</t>
  </si>
  <si>
    <t>Observed Potholes/km</t>
  </si>
  <si>
    <t>Predicted Potholes/km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</si>
</sst>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vertAlign val="subscript"/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55136022110255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945253626038696"/>
                  <c:y val="0.10235958254582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regression models rural'!$B$3:$B$10</c:f>
              <c:numCache>
                <c:formatCode>General</c:formatCode>
                <c:ptCount val="8"/>
                <c:pt idx="0">
                  <c:v>7.5</c:v>
                </c:pt>
                <c:pt idx="1">
                  <c:v>4.9000000000000004</c:v>
                </c:pt>
                <c:pt idx="2">
                  <c:v>9.3000000000000007</c:v>
                </c:pt>
                <c:pt idx="3">
                  <c:v>7.7</c:v>
                </c:pt>
                <c:pt idx="4">
                  <c:v>8.3000000000000007</c:v>
                </c:pt>
                <c:pt idx="5">
                  <c:v>5.3</c:v>
                </c:pt>
                <c:pt idx="6">
                  <c:v>10.7</c:v>
                </c:pt>
                <c:pt idx="7">
                  <c:v>8.8000000000000007</c:v>
                </c:pt>
              </c:numCache>
            </c:numRef>
          </c:xVal>
          <c:yVal>
            <c:numRef>
              <c:f>'Val of regression models rural'!$C$3:$C$10</c:f>
              <c:numCache>
                <c:formatCode>General</c:formatCode>
                <c:ptCount val="8"/>
                <c:pt idx="0">
                  <c:v>7.8</c:v>
                </c:pt>
                <c:pt idx="1">
                  <c:v>5.5</c:v>
                </c:pt>
                <c:pt idx="2">
                  <c:v>9.75</c:v>
                </c:pt>
                <c:pt idx="3">
                  <c:v>7.65</c:v>
                </c:pt>
                <c:pt idx="4">
                  <c:v>8.27</c:v>
                </c:pt>
                <c:pt idx="5">
                  <c:v>5.2</c:v>
                </c:pt>
                <c:pt idx="6">
                  <c:v>10.51</c:v>
                </c:pt>
                <c:pt idx="7">
                  <c:v>8.75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8A-4B35-B500-7A45A8AF3410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'Val of regression models rural'!$W$3:$W$4</c:f>
              <c:numCache>
                <c:formatCode>General</c:formatCode>
                <c:ptCount val="2"/>
                <c:pt idx="0">
                  <c:v>0</c:v>
                </c:pt>
                <c:pt idx="1">
                  <c:v>10.7</c:v>
                </c:pt>
              </c:numCache>
            </c:numRef>
          </c:xVal>
          <c:yVal>
            <c:numRef>
              <c:f>'Val of regression models rural'!$X$3:$X$4</c:f>
              <c:numCache>
                <c:formatCode>General</c:formatCode>
                <c:ptCount val="2"/>
                <c:pt idx="0">
                  <c:v>0</c:v>
                </c:pt>
                <c:pt idx="1">
                  <c:v>10.51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8A-4B35-B500-7A45A8AF3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cracking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22460602645"/>
              <c:y val="0.89563975288623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cracking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920915101147659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851119812436475"/>
                  <c:y val="3.86534790604558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regression models rural'!$B$14:$B$21</c:f>
              <c:numCache>
                <c:formatCode>General</c:formatCode>
                <c:ptCount val="8"/>
                <c:pt idx="0">
                  <c:v>10</c:v>
                </c:pt>
                <c:pt idx="1">
                  <c:v>4.9000000000000004</c:v>
                </c:pt>
                <c:pt idx="2">
                  <c:v>12.25</c:v>
                </c:pt>
                <c:pt idx="3">
                  <c:v>8.5</c:v>
                </c:pt>
                <c:pt idx="4">
                  <c:v>13</c:v>
                </c:pt>
                <c:pt idx="5">
                  <c:v>5.5</c:v>
                </c:pt>
                <c:pt idx="6">
                  <c:v>13</c:v>
                </c:pt>
                <c:pt idx="7">
                  <c:v>10</c:v>
                </c:pt>
              </c:numCache>
            </c:numRef>
          </c:xVal>
          <c:yVal>
            <c:numRef>
              <c:f>'Val of regression models rural'!$C$14:$C$21</c:f>
              <c:numCache>
                <c:formatCode>General</c:formatCode>
                <c:ptCount val="8"/>
                <c:pt idx="0">
                  <c:v>10.1</c:v>
                </c:pt>
                <c:pt idx="1">
                  <c:v>4.8499999999999996</c:v>
                </c:pt>
                <c:pt idx="2">
                  <c:v>13.1</c:v>
                </c:pt>
                <c:pt idx="3">
                  <c:v>8.73</c:v>
                </c:pt>
                <c:pt idx="4">
                  <c:v>13.2</c:v>
                </c:pt>
                <c:pt idx="5">
                  <c:v>5.65</c:v>
                </c:pt>
                <c:pt idx="6">
                  <c:v>13.8</c:v>
                </c:pt>
                <c:pt idx="7">
                  <c:v>10.199999999999999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75-4719-BC8F-66BA90B0E7A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C75-4719-BC8F-66BA90B0E7A1}"/>
              </c:ext>
            </c:extLst>
          </c:dPt>
          <c:xVal>
            <c:numRef>
              <c:f>'Val of regression models rural'!$W$14:$W$15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xVal>
          <c:yVal>
            <c:numRef>
              <c:f>'Val of regression models rural'!$X$14:$X$15</c:f>
              <c:numCache>
                <c:formatCode>General</c:formatCode>
                <c:ptCount val="2"/>
                <c:pt idx="0">
                  <c:v>0</c:v>
                </c:pt>
                <c:pt idx="1">
                  <c:v>13.8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75-4719-BC8F-66BA90B0E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ravelling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1682896863"/>
              <c:y val="0.90487871592522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ravelling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920915101147659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851119812436475"/>
                  <c:y val="3.86534790604558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regression models rural'!$B$25:$B$32</c:f>
              <c:numCache>
                <c:formatCode>General</c:formatCode>
                <c:ptCount val="8"/>
                <c:pt idx="0">
                  <c:v>5.4</c:v>
                </c:pt>
                <c:pt idx="1">
                  <c:v>3</c:v>
                </c:pt>
                <c:pt idx="2">
                  <c:v>6</c:v>
                </c:pt>
                <c:pt idx="3">
                  <c:v>5.25</c:v>
                </c:pt>
                <c:pt idx="4">
                  <c:v>5.8</c:v>
                </c:pt>
                <c:pt idx="5">
                  <c:v>4.5</c:v>
                </c:pt>
                <c:pt idx="6">
                  <c:v>8</c:v>
                </c:pt>
                <c:pt idx="7">
                  <c:v>6.6</c:v>
                </c:pt>
              </c:numCache>
            </c:numRef>
          </c:xVal>
          <c:yVal>
            <c:numRef>
              <c:f>'Val of regression models rural'!$C$25:$C$32</c:f>
              <c:numCache>
                <c:formatCode>General</c:formatCode>
                <c:ptCount val="8"/>
                <c:pt idx="0">
                  <c:v>6</c:v>
                </c:pt>
                <c:pt idx="1">
                  <c:v>4</c:v>
                </c:pt>
                <c:pt idx="2">
                  <c:v>6.7</c:v>
                </c:pt>
                <c:pt idx="3">
                  <c:v>5.7</c:v>
                </c:pt>
                <c:pt idx="4">
                  <c:v>6.25</c:v>
                </c:pt>
                <c:pt idx="5">
                  <c:v>4.75</c:v>
                </c:pt>
                <c:pt idx="6">
                  <c:v>9</c:v>
                </c:pt>
                <c:pt idx="7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2B-4E99-B293-F5580D33D1B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2B-4E99-B293-F5580D33D1B0}"/>
              </c:ext>
            </c:extLst>
          </c:dPt>
          <c:xVal>
            <c:numRef>
              <c:f>'Val of regression models rural'!$W$25:$W$26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'Val of regression models rural'!$X$25:$X$26</c:f>
              <c:numCache>
                <c:formatCode>General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2B-4E99-B293-F5580D33D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potholes/km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1682896863"/>
              <c:y val="0.90487871592522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potholes/km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920915101147659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722146380964648"/>
                  <c:y val="0.116317707438434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regression models rural'!$B$36:$B$43</c:f>
              <c:numCache>
                <c:formatCode>General</c:formatCode>
                <c:ptCount val="8"/>
                <c:pt idx="0">
                  <c:v>4.5</c:v>
                </c:pt>
                <c:pt idx="1">
                  <c:v>2</c:v>
                </c:pt>
                <c:pt idx="2">
                  <c:v>8.35</c:v>
                </c:pt>
                <c:pt idx="3">
                  <c:v>4</c:v>
                </c:pt>
                <c:pt idx="4">
                  <c:v>4.95</c:v>
                </c:pt>
                <c:pt idx="5">
                  <c:v>2.75</c:v>
                </c:pt>
                <c:pt idx="6">
                  <c:v>11.25</c:v>
                </c:pt>
                <c:pt idx="7">
                  <c:v>4.3</c:v>
                </c:pt>
              </c:numCache>
            </c:numRef>
          </c:xVal>
          <c:yVal>
            <c:numRef>
              <c:f>'Val of regression models rural'!$C$36:$C$43</c:f>
              <c:numCache>
                <c:formatCode>General</c:formatCode>
                <c:ptCount val="8"/>
                <c:pt idx="0">
                  <c:v>4</c:v>
                </c:pt>
                <c:pt idx="1">
                  <c:v>2.2200000000000002</c:v>
                </c:pt>
                <c:pt idx="2">
                  <c:v>8</c:v>
                </c:pt>
                <c:pt idx="3">
                  <c:v>3</c:v>
                </c:pt>
                <c:pt idx="4">
                  <c:v>5</c:v>
                </c:pt>
                <c:pt idx="5">
                  <c:v>2.73</c:v>
                </c:pt>
                <c:pt idx="6">
                  <c:v>11.11</c:v>
                </c:pt>
                <c:pt idx="7">
                  <c:v>4.43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D4-4ED0-BD48-C458D3F6C13D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'Val of regression models rural'!$W$36:$W$37</c:f>
              <c:numCache>
                <c:formatCode>General</c:formatCode>
                <c:ptCount val="2"/>
                <c:pt idx="0">
                  <c:v>0</c:v>
                </c:pt>
                <c:pt idx="1">
                  <c:v>11.25</c:v>
                </c:pt>
              </c:numCache>
            </c:numRef>
          </c:xVal>
          <c:yVal>
            <c:numRef>
              <c:f>'Val of regression models rural'!$X$36:$X$37</c:f>
              <c:numCache>
                <c:formatCode>General</c:formatCode>
                <c:ptCount val="2"/>
                <c:pt idx="0">
                  <c:v>0</c:v>
                </c:pt>
                <c:pt idx="1">
                  <c:v>11.11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D4-4ED0-BD48-C458D3F6C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Edge break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1682896863"/>
              <c:y val="0.90487871592522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Edge break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55136022110255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945253626038696"/>
                  <c:y val="0.10235958254582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regression models urban'!$B$3:$B$10</c:f>
              <c:numCache>
                <c:formatCode>General</c:formatCode>
                <c:ptCount val="8"/>
                <c:pt idx="0">
                  <c:v>3.2</c:v>
                </c:pt>
                <c:pt idx="1">
                  <c:v>4</c:v>
                </c:pt>
                <c:pt idx="2">
                  <c:v>3.75</c:v>
                </c:pt>
                <c:pt idx="3">
                  <c:v>4.8</c:v>
                </c:pt>
                <c:pt idx="4">
                  <c:v>3.6</c:v>
                </c:pt>
                <c:pt idx="5">
                  <c:v>1.5</c:v>
                </c:pt>
                <c:pt idx="6">
                  <c:v>4.2</c:v>
                </c:pt>
                <c:pt idx="7">
                  <c:v>5.3</c:v>
                </c:pt>
              </c:numCache>
            </c:numRef>
          </c:xVal>
          <c:yVal>
            <c:numRef>
              <c:f>'Val of regression models urban'!$C$3:$C$10</c:f>
              <c:numCache>
                <c:formatCode>General</c:formatCode>
                <c:ptCount val="8"/>
                <c:pt idx="0">
                  <c:v>2.88</c:v>
                </c:pt>
                <c:pt idx="1">
                  <c:v>3.88</c:v>
                </c:pt>
                <c:pt idx="2">
                  <c:v>3.7</c:v>
                </c:pt>
                <c:pt idx="3">
                  <c:v>4.75</c:v>
                </c:pt>
                <c:pt idx="4">
                  <c:v>3.77</c:v>
                </c:pt>
                <c:pt idx="5">
                  <c:v>1.63</c:v>
                </c:pt>
                <c:pt idx="6">
                  <c:v>4.3499999999999996</c:v>
                </c:pt>
                <c:pt idx="7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09-48DC-8310-3CB4F297D546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'Val of regression models urban'!$W$3:$W$4</c:f>
              <c:numCache>
                <c:formatCode>General</c:formatCode>
                <c:ptCount val="2"/>
                <c:pt idx="0">
                  <c:v>0</c:v>
                </c:pt>
                <c:pt idx="1">
                  <c:v>5.3</c:v>
                </c:pt>
              </c:numCache>
            </c:numRef>
          </c:xVal>
          <c:yVal>
            <c:numRef>
              <c:f>'Val of regression models urban'!$X$3:$X$4</c:f>
              <c:numCache>
                <c:formatCode>General</c:formatCode>
                <c:ptCount val="2"/>
                <c:pt idx="0">
                  <c:v>0</c:v>
                </c:pt>
                <c:pt idx="1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09-48DC-8310-3CB4F297D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cracking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22460602645"/>
              <c:y val="0.89563975288623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cracking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920915101147659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851119812436475"/>
                  <c:y val="3.86534790604558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regression models urban'!$B$14:$B$21</c:f>
              <c:numCache>
                <c:formatCode>General</c:formatCode>
                <c:ptCount val="8"/>
                <c:pt idx="0">
                  <c:v>2.85</c:v>
                </c:pt>
                <c:pt idx="1">
                  <c:v>3.35</c:v>
                </c:pt>
                <c:pt idx="2">
                  <c:v>3.3</c:v>
                </c:pt>
                <c:pt idx="3">
                  <c:v>4.5</c:v>
                </c:pt>
                <c:pt idx="4">
                  <c:v>3.5</c:v>
                </c:pt>
                <c:pt idx="5">
                  <c:v>0.75</c:v>
                </c:pt>
                <c:pt idx="6">
                  <c:v>3.75</c:v>
                </c:pt>
                <c:pt idx="7">
                  <c:v>5</c:v>
                </c:pt>
              </c:numCache>
            </c:numRef>
          </c:xVal>
          <c:yVal>
            <c:numRef>
              <c:f>'Val of regression models urban'!$C$14:$C$21</c:f>
              <c:numCache>
                <c:formatCode>General</c:formatCode>
                <c:ptCount val="8"/>
                <c:pt idx="0">
                  <c:v>2.6</c:v>
                </c:pt>
                <c:pt idx="1">
                  <c:v>3.22</c:v>
                </c:pt>
                <c:pt idx="2">
                  <c:v>3.2</c:v>
                </c:pt>
                <c:pt idx="3">
                  <c:v>4.5</c:v>
                </c:pt>
                <c:pt idx="4">
                  <c:v>3.5</c:v>
                </c:pt>
                <c:pt idx="5">
                  <c:v>1</c:v>
                </c:pt>
                <c:pt idx="6">
                  <c:v>3.77</c:v>
                </c:pt>
                <c:pt idx="7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AA-4FD7-B5DE-8F0DF47D9D7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AA-4FD7-B5DE-8F0DF47D9D7E}"/>
              </c:ext>
            </c:extLst>
          </c:dPt>
          <c:xVal>
            <c:numRef>
              <c:f>'Val of regression models urban'!$W$14:$W$15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'Val of regression models urban'!$X$14:$X$15</c:f>
              <c:numCache>
                <c:formatCode>General</c:formatCode>
                <c:ptCount val="2"/>
                <c:pt idx="0">
                  <c:v>0</c:v>
                </c:pt>
                <c:pt idx="1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AA-4FD7-B5DE-8F0DF47D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ravelling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1682896863"/>
              <c:y val="0.90487871592522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ravelling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920915101147659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959080363706045"/>
                  <c:y val="6.04852078679861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regression models urban'!$B$25:$B$32</c:f>
              <c:numCache>
                <c:formatCode>General</c:formatCode>
                <c:ptCount val="8"/>
                <c:pt idx="0">
                  <c:v>2.5</c:v>
                </c:pt>
                <c:pt idx="1">
                  <c:v>3.2</c:v>
                </c:pt>
                <c:pt idx="2">
                  <c:v>2.2999999999999998</c:v>
                </c:pt>
                <c:pt idx="3">
                  <c:v>3.5</c:v>
                </c:pt>
                <c:pt idx="4">
                  <c:v>3</c:v>
                </c:pt>
                <c:pt idx="5">
                  <c:v>1</c:v>
                </c:pt>
                <c:pt idx="6">
                  <c:v>3.25</c:v>
                </c:pt>
                <c:pt idx="7">
                  <c:v>3.7</c:v>
                </c:pt>
              </c:numCache>
            </c:numRef>
          </c:xVal>
          <c:yVal>
            <c:numRef>
              <c:f>'Val of regression models urban'!$C$25:$C$32</c:f>
              <c:numCache>
                <c:formatCode>General</c:formatCode>
                <c:ptCount val="8"/>
                <c:pt idx="0">
                  <c:v>2.25</c:v>
                </c:pt>
                <c:pt idx="1">
                  <c:v>3</c:v>
                </c:pt>
                <c:pt idx="2">
                  <c:v>2.2200000000000002</c:v>
                </c:pt>
                <c:pt idx="3">
                  <c:v>3.27</c:v>
                </c:pt>
                <c:pt idx="4">
                  <c:v>3.13</c:v>
                </c:pt>
                <c:pt idx="5">
                  <c:v>1.25</c:v>
                </c:pt>
                <c:pt idx="6">
                  <c:v>3.43</c:v>
                </c:pt>
                <c:pt idx="7">
                  <c:v>3.77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2B-410B-B149-C68976D01F9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2B-410B-B149-C68976D01F98}"/>
              </c:ext>
            </c:extLst>
          </c:dPt>
          <c:xVal>
            <c:numRef>
              <c:f>'Val of regression models urban'!$W$25:$W$26</c:f>
              <c:numCache>
                <c:formatCode>General</c:formatCode>
                <c:ptCount val="2"/>
                <c:pt idx="0">
                  <c:v>0</c:v>
                </c:pt>
                <c:pt idx="1">
                  <c:v>3.7</c:v>
                </c:pt>
              </c:numCache>
            </c:numRef>
          </c:xVal>
          <c:yVal>
            <c:numRef>
              <c:f>'Val of regression models urban'!$X$25:$X$26</c:f>
              <c:numCache>
                <c:formatCode>General</c:formatCode>
                <c:ptCount val="2"/>
                <c:pt idx="0">
                  <c:v>0</c:v>
                </c:pt>
                <c:pt idx="1">
                  <c:v>3.77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2B-410B-B149-C68976D01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potholes/km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1682896863"/>
              <c:y val="0.90487871592522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potholes/km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920915101147659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474109382459702"/>
                  <c:y val="0.111664999140897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regression models urban'!$B$36:$B$43</c:f>
              <c:numCache>
                <c:formatCode>General</c:formatCode>
                <c:ptCount val="8"/>
                <c:pt idx="0">
                  <c:v>4.8499999999999996</c:v>
                </c:pt>
                <c:pt idx="1">
                  <c:v>3.3</c:v>
                </c:pt>
                <c:pt idx="2">
                  <c:v>2</c:v>
                </c:pt>
                <c:pt idx="3">
                  <c:v>3.8</c:v>
                </c:pt>
                <c:pt idx="4">
                  <c:v>5</c:v>
                </c:pt>
                <c:pt idx="5">
                  <c:v>0.5</c:v>
                </c:pt>
                <c:pt idx="6">
                  <c:v>2.15</c:v>
                </c:pt>
                <c:pt idx="7">
                  <c:v>3.95</c:v>
                </c:pt>
              </c:numCache>
            </c:numRef>
          </c:xVal>
          <c:yVal>
            <c:numRef>
              <c:f>'Val of regression models urban'!$C$36:$C$43</c:f>
              <c:numCache>
                <c:formatCode>General</c:formatCode>
                <c:ptCount val="8"/>
                <c:pt idx="0">
                  <c:v>4.28</c:v>
                </c:pt>
                <c:pt idx="1">
                  <c:v>3.28</c:v>
                </c:pt>
                <c:pt idx="2">
                  <c:v>2</c:v>
                </c:pt>
                <c:pt idx="3">
                  <c:v>3.5</c:v>
                </c:pt>
                <c:pt idx="4">
                  <c:v>4.75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7A-4EDD-96D9-493440C8384C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'Val of regression models urban'!$W$36:$W$37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'Val of regression models urban'!$X$36:$X$37</c:f>
              <c:numCache>
                <c:formatCode>General</c:formatCode>
                <c:ptCount val="2"/>
                <c:pt idx="0">
                  <c:v>0</c:v>
                </c:pt>
                <c:pt idx="1">
                  <c:v>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7A-4EDD-96D9-493440C83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rut depth,mm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1682896863"/>
              <c:y val="0.90487871592522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</a:t>
                </a:r>
                <a:r>
                  <a:rPr lang="en-IN" sz="1000" b="0" i="0" u="none" strike="noStrike" baseline="0">
                    <a:effectLst/>
                  </a:rPr>
                  <a:t>rut depth,mm</a:t>
                </a: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55136022110255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945253626038696"/>
                  <c:y val="0.10235958254582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HDM-4 model (GCF rural)'!$B$3:$B$10</c:f>
              <c:numCache>
                <c:formatCode>General</c:formatCode>
                <c:ptCount val="8"/>
                <c:pt idx="0">
                  <c:v>7.5</c:v>
                </c:pt>
                <c:pt idx="1">
                  <c:v>4.9000000000000004</c:v>
                </c:pt>
                <c:pt idx="2">
                  <c:v>9.3000000000000007</c:v>
                </c:pt>
                <c:pt idx="3">
                  <c:v>7.7</c:v>
                </c:pt>
                <c:pt idx="4">
                  <c:v>8.3000000000000007</c:v>
                </c:pt>
                <c:pt idx="5">
                  <c:v>5.3</c:v>
                </c:pt>
                <c:pt idx="6">
                  <c:v>10.7</c:v>
                </c:pt>
                <c:pt idx="7">
                  <c:v>8.8000000000000007</c:v>
                </c:pt>
              </c:numCache>
            </c:numRef>
          </c:xVal>
          <c:yVal>
            <c:numRef>
              <c:f>'Val of HDM-4 model (GCF rural)'!$C$3:$C$10</c:f>
              <c:numCache>
                <c:formatCode>General</c:formatCode>
                <c:ptCount val="8"/>
                <c:pt idx="0">
                  <c:v>8.3000000000000007</c:v>
                </c:pt>
                <c:pt idx="1">
                  <c:v>5.6</c:v>
                </c:pt>
                <c:pt idx="2">
                  <c:v>9.15</c:v>
                </c:pt>
                <c:pt idx="3">
                  <c:v>8.4</c:v>
                </c:pt>
                <c:pt idx="4">
                  <c:v>8.75</c:v>
                </c:pt>
                <c:pt idx="5">
                  <c:v>5.25</c:v>
                </c:pt>
                <c:pt idx="6">
                  <c:v>10.29</c:v>
                </c:pt>
                <c:pt idx="7">
                  <c:v>9.35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D9-4A80-B034-7611A550720C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'Val of HDM-4 model (GCF rural)'!$W$3:$W$4</c:f>
              <c:numCache>
                <c:formatCode>General</c:formatCode>
                <c:ptCount val="2"/>
                <c:pt idx="0">
                  <c:v>0</c:v>
                </c:pt>
                <c:pt idx="1">
                  <c:v>10.7</c:v>
                </c:pt>
              </c:numCache>
            </c:numRef>
          </c:xVal>
          <c:yVal>
            <c:numRef>
              <c:f>'Val of HDM-4 model (GCF rural)'!$X$3:$X$4</c:f>
              <c:numCache>
                <c:formatCode>General</c:formatCode>
                <c:ptCount val="2"/>
                <c:pt idx="0">
                  <c:v>0</c:v>
                </c:pt>
                <c:pt idx="1">
                  <c:v>10.29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D9-4A80-B034-7611A5507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cracking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22460602645"/>
              <c:y val="0.89563975288623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cracking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55136022110255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945253626038696"/>
                  <c:y val="0.10235958254582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HDM-4 model (GCF rural)'!$B$14:$B$21</c:f>
              <c:numCache>
                <c:formatCode>General</c:formatCode>
                <c:ptCount val="8"/>
                <c:pt idx="0">
                  <c:v>10</c:v>
                </c:pt>
                <c:pt idx="1">
                  <c:v>4.9000000000000004</c:v>
                </c:pt>
                <c:pt idx="2">
                  <c:v>12.25</c:v>
                </c:pt>
                <c:pt idx="3">
                  <c:v>8.5</c:v>
                </c:pt>
                <c:pt idx="4">
                  <c:v>13</c:v>
                </c:pt>
                <c:pt idx="5">
                  <c:v>5.5</c:v>
                </c:pt>
                <c:pt idx="6">
                  <c:v>13</c:v>
                </c:pt>
                <c:pt idx="7">
                  <c:v>10</c:v>
                </c:pt>
              </c:numCache>
            </c:numRef>
          </c:xVal>
          <c:yVal>
            <c:numRef>
              <c:f>'Val of HDM-4 model (GCF rural)'!$C$14:$C$21</c:f>
              <c:numCache>
                <c:formatCode>General</c:formatCode>
                <c:ptCount val="8"/>
                <c:pt idx="0">
                  <c:v>11.13</c:v>
                </c:pt>
                <c:pt idx="1">
                  <c:v>6.29</c:v>
                </c:pt>
                <c:pt idx="2">
                  <c:v>12.13</c:v>
                </c:pt>
                <c:pt idx="3">
                  <c:v>8.85</c:v>
                </c:pt>
                <c:pt idx="4">
                  <c:v>14.1</c:v>
                </c:pt>
                <c:pt idx="5">
                  <c:v>6.36</c:v>
                </c:pt>
                <c:pt idx="6">
                  <c:v>11.88</c:v>
                </c:pt>
                <c:pt idx="7">
                  <c:v>10.3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2D-4A4C-954E-30AA2A3261C8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'Val of HDM-4 model (GCF rural)'!$W$14:$W$15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xVal>
          <c:yVal>
            <c:numRef>
              <c:f>'Val of HDM-4 model (GCF rural)'!$X$14:$X$15</c:f>
              <c:numCache>
                <c:formatCode>General</c:formatCode>
                <c:ptCount val="2"/>
                <c:pt idx="0">
                  <c:v>0</c:v>
                </c:pt>
                <c:pt idx="1">
                  <c:v>14.1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2D-4A4C-954E-30AA2A326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ravelling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22460602645"/>
              <c:y val="0.89563975288623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ravelling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55136022110255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945253626038696"/>
                  <c:y val="0.102359582545822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HDM-4 model (GCF rural)'!$B$25:$B$32</c:f>
              <c:numCache>
                <c:formatCode>General</c:formatCode>
                <c:ptCount val="8"/>
                <c:pt idx="0">
                  <c:v>5.4</c:v>
                </c:pt>
                <c:pt idx="1">
                  <c:v>3</c:v>
                </c:pt>
                <c:pt idx="2">
                  <c:v>6</c:v>
                </c:pt>
                <c:pt idx="3">
                  <c:v>5.25</c:v>
                </c:pt>
                <c:pt idx="4">
                  <c:v>5.8</c:v>
                </c:pt>
                <c:pt idx="5">
                  <c:v>4.5</c:v>
                </c:pt>
                <c:pt idx="6">
                  <c:v>8</c:v>
                </c:pt>
                <c:pt idx="7">
                  <c:v>6.6</c:v>
                </c:pt>
              </c:numCache>
            </c:numRef>
          </c:xVal>
          <c:yVal>
            <c:numRef>
              <c:f>'Val of HDM-4 model (GCF rural)'!$C$25:$C$32</c:f>
              <c:numCache>
                <c:formatCode>General</c:formatCode>
                <c:ptCount val="8"/>
                <c:pt idx="0">
                  <c:v>5.6</c:v>
                </c:pt>
                <c:pt idx="1">
                  <c:v>2.2999999999999998</c:v>
                </c:pt>
                <c:pt idx="2">
                  <c:v>6.82</c:v>
                </c:pt>
                <c:pt idx="3">
                  <c:v>5</c:v>
                </c:pt>
                <c:pt idx="4">
                  <c:v>5.75</c:v>
                </c:pt>
                <c:pt idx="5">
                  <c:v>4.8</c:v>
                </c:pt>
                <c:pt idx="6">
                  <c:v>8</c:v>
                </c:pt>
                <c:pt idx="7">
                  <c:v>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1-4AE8-8091-43D371D3FD44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'Val of HDM-4 model (GCF rural)'!$W$25:$W$26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'Val of HDM-4 model (GCF rural)'!$X$25:$X$26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D1-4AE8-8091-43D371D3F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potholes/km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22460602645"/>
              <c:y val="0.89563975288623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potholes/km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1.3761468884018557E-2"/>
              <c:y val="0.17722165905319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19028470637037"/>
          <c:y val="4.6527082975373987E-2"/>
          <c:w val="0.85424090545697506"/>
          <c:h val="0.755136022110255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005038214623871"/>
                  <c:y val="6.851534276355486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HDM-4 model (GCF rural)'!$B$36:$B$43</c:f>
              <c:numCache>
                <c:formatCode>General</c:formatCode>
                <c:ptCount val="8"/>
                <c:pt idx="0">
                  <c:v>4.5</c:v>
                </c:pt>
                <c:pt idx="1">
                  <c:v>2</c:v>
                </c:pt>
                <c:pt idx="2">
                  <c:v>8.35</c:v>
                </c:pt>
                <c:pt idx="3">
                  <c:v>4</c:v>
                </c:pt>
                <c:pt idx="4">
                  <c:v>4.95</c:v>
                </c:pt>
                <c:pt idx="5">
                  <c:v>2.75</c:v>
                </c:pt>
                <c:pt idx="6">
                  <c:v>11.25</c:v>
                </c:pt>
                <c:pt idx="7">
                  <c:v>4.3</c:v>
                </c:pt>
              </c:numCache>
            </c:numRef>
          </c:xVal>
          <c:yVal>
            <c:numRef>
              <c:f>'Val of HDM-4 model (GCF rural)'!$C$36:$C$43</c:f>
              <c:numCache>
                <c:formatCode>General</c:formatCode>
                <c:ptCount val="8"/>
                <c:pt idx="0">
                  <c:v>4.74</c:v>
                </c:pt>
                <c:pt idx="1">
                  <c:v>2.9</c:v>
                </c:pt>
                <c:pt idx="2">
                  <c:v>8</c:v>
                </c:pt>
                <c:pt idx="3">
                  <c:v>4.25</c:v>
                </c:pt>
                <c:pt idx="4">
                  <c:v>5.78</c:v>
                </c:pt>
                <c:pt idx="5">
                  <c:v>2.27</c:v>
                </c:pt>
                <c:pt idx="6">
                  <c:v>13</c:v>
                </c:pt>
                <c:pt idx="7">
                  <c:v>4.8899999999999997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34-47E3-9BF8-372FDFF6B051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'Val of HDM-4 model (GCF rural)'!$W$36:$W$37</c:f>
              <c:numCache>
                <c:formatCode>General</c:formatCode>
                <c:ptCount val="2"/>
                <c:pt idx="0">
                  <c:v>0</c:v>
                </c:pt>
                <c:pt idx="1">
                  <c:v>11.25</c:v>
                </c:pt>
              </c:numCache>
            </c:numRef>
          </c:xVal>
          <c:yVal>
            <c:numRef>
              <c:f>'Val of HDM-4 model (GCF rural)'!$X$36:$X$37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34-47E3-9BF8-372FDFF6B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Edge break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22460602645"/>
              <c:y val="0.89563975288623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Edge break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1.3761468884018557E-2"/>
              <c:y val="0.17722165905319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55136022110255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682926004690171"/>
                  <c:y val="7.20708178838383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HDM-4 model (GCF urban)'!$B$3:$B$10</c:f>
              <c:numCache>
                <c:formatCode>General</c:formatCode>
                <c:ptCount val="8"/>
                <c:pt idx="0">
                  <c:v>3.2</c:v>
                </c:pt>
                <c:pt idx="1">
                  <c:v>4</c:v>
                </c:pt>
                <c:pt idx="2">
                  <c:v>3.75</c:v>
                </c:pt>
                <c:pt idx="3">
                  <c:v>4.8</c:v>
                </c:pt>
                <c:pt idx="4">
                  <c:v>3.6</c:v>
                </c:pt>
                <c:pt idx="5">
                  <c:v>1.5</c:v>
                </c:pt>
                <c:pt idx="6">
                  <c:v>4.2</c:v>
                </c:pt>
                <c:pt idx="7">
                  <c:v>5.3</c:v>
                </c:pt>
              </c:numCache>
            </c:numRef>
          </c:xVal>
          <c:yVal>
            <c:numRef>
              <c:f>'Val of HDM-4 model (GCF urban)'!$C$3:$C$10</c:f>
              <c:numCache>
                <c:formatCode>General</c:formatCode>
                <c:ptCount val="8"/>
                <c:pt idx="0">
                  <c:v>2.9</c:v>
                </c:pt>
                <c:pt idx="1">
                  <c:v>3.58</c:v>
                </c:pt>
                <c:pt idx="2">
                  <c:v>4.3600000000000003</c:v>
                </c:pt>
                <c:pt idx="3">
                  <c:v>5.2</c:v>
                </c:pt>
                <c:pt idx="4">
                  <c:v>3.3</c:v>
                </c:pt>
                <c:pt idx="5">
                  <c:v>1.8</c:v>
                </c:pt>
                <c:pt idx="6">
                  <c:v>3.47</c:v>
                </c:pt>
                <c:pt idx="7">
                  <c:v>4.95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59-4D49-BF76-60E60A5126CB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'Val of HDM-4 model (GCF urban)'!$W$3:$W$4</c:f>
              <c:numCache>
                <c:formatCode>General</c:formatCode>
                <c:ptCount val="2"/>
                <c:pt idx="0">
                  <c:v>0</c:v>
                </c:pt>
                <c:pt idx="1">
                  <c:v>5.3</c:v>
                </c:pt>
              </c:numCache>
            </c:numRef>
          </c:xVal>
          <c:yVal>
            <c:numRef>
              <c:f>'Val of HDM-4 model (GCF urban)'!$X$3:$X$4</c:f>
              <c:numCache>
                <c:formatCode>General</c:formatCode>
                <c:ptCount val="2"/>
                <c:pt idx="0">
                  <c:v>0</c:v>
                </c:pt>
                <c:pt idx="1">
                  <c:v>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59-4D49-BF76-60E60A512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cracking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22460602645"/>
              <c:y val="0.89563975288623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cracking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55136022110255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682926004690171"/>
                  <c:y val="7.20708178838383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HDM-4 model (GCF urban)'!$B$14:$B$21</c:f>
              <c:numCache>
                <c:formatCode>General</c:formatCode>
                <c:ptCount val="8"/>
                <c:pt idx="0">
                  <c:v>2.85</c:v>
                </c:pt>
                <c:pt idx="1">
                  <c:v>3.35</c:v>
                </c:pt>
                <c:pt idx="2">
                  <c:v>3.3</c:v>
                </c:pt>
                <c:pt idx="3">
                  <c:v>4.5</c:v>
                </c:pt>
                <c:pt idx="4">
                  <c:v>3.5</c:v>
                </c:pt>
                <c:pt idx="5">
                  <c:v>0.75</c:v>
                </c:pt>
                <c:pt idx="6">
                  <c:v>3.75</c:v>
                </c:pt>
                <c:pt idx="7">
                  <c:v>5</c:v>
                </c:pt>
              </c:numCache>
            </c:numRef>
          </c:xVal>
          <c:yVal>
            <c:numRef>
              <c:f>'Val of HDM-4 model (GCF urban)'!$C$14:$C$21</c:f>
              <c:numCache>
                <c:formatCode>General</c:formatCode>
                <c:ptCount val="8"/>
                <c:pt idx="0">
                  <c:v>2.2999999999999998</c:v>
                </c:pt>
                <c:pt idx="1">
                  <c:v>3.1</c:v>
                </c:pt>
                <c:pt idx="2">
                  <c:v>3.05</c:v>
                </c:pt>
                <c:pt idx="3">
                  <c:v>5</c:v>
                </c:pt>
                <c:pt idx="4">
                  <c:v>4</c:v>
                </c:pt>
                <c:pt idx="5">
                  <c:v>1.1000000000000001</c:v>
                </c:pt>
                <c:pt idx="6">
                  <c:v>3.83</c:v>
                </c:pt>
                <c:pt idx="7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AA-48D3-85A6-C8F31A9BD673}"/>
            </c:ext>
          </c:extLst>
        </c:ser>
        <c:ser>
          <c:idx val="1"/>
          <c:order val="1"/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'Val of HDM-4 model (GCF urban)'!$W$14:$W$15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xVal>
          <c:yVal>
            <c:numRef>
              <c:f>'Val of HDM-4 model (GCF urban)'!$X$14:$X$15</c:f>
              <c:numCache>
                <c:formatCode>General</c:formatCode>
                <c:ptCount val="2"/>
                <c:pt idx="0">
                  <c:v>0</c:v>
                </c:pt>
                <c:pt idx="1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AA-48D3-85A6-C8F31A9BD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ravelling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22460602645"/>
              <c:y val="0.89563975288623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ravelling %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3340337595921"/>
          <c:y val="5.1179791272911383E-2"/>
          <c:w val="0.85424090545697506"/>
          <c:h val="0.755136022110255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964758070126277"/>
                  <c:y val="3.23447488325182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'Val of HDM-4 model (GCF urban)'!$B$25:$B$32</c:f>
              <c:numCache>
                <c:formatCode>General</c:formatCode>
                <c:ptCount val="8"/>
                <c:pt idx="0">
                  <c:v>2.5</c:v>
                </c:pt>
                <c:pt idx="1">
                  <c:v>3.2</c:v>
                </c:pt>
                <c:pt idx="2">
                  <c:v>2.2999999999999998</c:v>
                </c:pt>
                <c:pt idx="3">
                  <c:v>3.5</c:v>
                </c:pt>
                <c:pt idx="4">
                  <c:v>3</c:v>
                </c:pt>
                <c:pt idx="5">
                  <c:v>1</c:v>
                </c:pt>
                <c:pt idx="6">
                  <c:v>3.25</c:v>
                </c:pt>
                <c:pt idx="7">
                  <c:v>3.7</c:v>
                </c:pt>
              </c:numCache>
            </c:numRef>
          </c:xVal>
          <c:yVal>
            <c:numRef>
              <c:f>'Val of HDM-4 model (GCF urban)'!$C$25:$C$32</c:f>
              <c:numCache>
                <c:formatCode>General</c:formatCode>
                <c:ptCount val="8"/>
                <c:pt idx="0">
                  <c:v>2.15</c:v>
                </c:pt>
                <c:pt idx="1">
                  <c:v>2.85</c:v>
                </c:pt>
                <c:pt idx="2">
                  <c:v>2.72</c:v>
                </c:pt>
                <c:pt idx="3">
                  <c:v>4.4000000000000004</c:v>
                </c:pt>
                <c:pt idx="4">
                  <c:v>4</c:v>
                </c:pt>
                <c:pt idx="5">
                  <c:v>1.3</c:v>
                </c:pt>
                <c:pt idx="6">
                  <c:v>3.5</c:v>
                </c:pt>
                <c:pt idx="7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BA-45D9-B157-3123FDAD1D9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DBA-45D9-B157-3123FDAD1D91}"/>
              </c:ext>
            </c:extLst>
          </c:dPt>
          <c:xVal>
            <c:numRef>
              <c:f>'Val of HDM-4 model (GCF urban)'!$W$25:$W$26</c:f>
              <c:numCache>
                <c:formatCode>General</c:formatCode>
                <c:ptCount val="2"/>
                <c:pt idx="0">
                  <c:v>0</c:v>
                </c:pt>
                <c:pt idx="1">
                  <c:v>3.7</c:v>
                </c:pt>
              </c:numCache>
            </c:numRef>
          </c:xVal>
          <c:yVal>
            <c:numRef>
              <c:f>'Val of HDM-4 model (GCF urban)'!$X$25:$X$26</c:f>
              <c:numCache>
                <c:formatCode>General</c:formatCode>
                <c:ptCount val="2"/>
                <c:pt idx="0">
                  <c:v>0</c:v>
                </c:pt>
                <c:pt idx="1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BA-45D9-B157-3123FDAD1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84735"/>
        <c:axId val="984385151"/>
      </c:scatterChart>
      <c:valAx>
        <c:axId val="984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Observed potholes/km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0.41222122460602645"/>
              <c:y val="0.895639752886236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5151"/>
        <c:crosses val="autoZero"/>
        <c:crossBetween val="midCat"/>
      </c:valAx>
      <c:valAx>
        <c:axId val="98438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0" i="0" baseline="0">
                    <a:effectLst/>
                  </a:rPr>
                  <a:t>Predicted potholes/km</a:t>
                </a:r>
                <a:endParaRPr lang="en-IN" sz="1100">
                  <a:effectLst/>
                </a:endParaRPr>
              </a:p>
            </c:rich>
          </c:tx>
          <c:layout>
            <c:manualLayout>
              <c:xMode val="edge"/>
              <c:yMode val="edge"/>
              <c:x val="2.7522937768037115E-3"/>
              <c:y val="0.321455616276858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384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136072</xdr:colOff>
      <xdr:row>0</xdr:row>
      <xdr:rowOff>26913</xdr:rowOff>
    </xdr:from>
    <xdr:to>
      <xdr:col>21</xdr:col>
      <xdr:colOff>453572</xdr:colOff>
      <xdr:row>12</xdr:row>
      <xdr:rowOff>258839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57431-A68E-4139-AEA2-B7685F7F8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355600</xdr:colOff>
      <xdr:row>13</xdr:row>
      <xdr:rowOff>50800</xdr:rowOff>
    </xdr:from>
    <xdr:to>
      <xdr:col>21</xdr:col>
      <xdr:colOff>63499</xdr:colOff>
      <xdr:row>26</xdr:row>
      <xdr:rowOff>123976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C20D28-7510-424E-A0A6-C35D927FC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28</xdr:row>
      <xdr:rowOff>0</xdr:rowOff>
    </xdr:from>
    <xdr:to>
      <xdr:col>21</xdr:col>
      <xdr:colOff>321732</xdr:colOff>
      <xdr:row>41</xdr:row>
      <xdr:rowOff>73176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C6F225-5221-4EC9-90C4-8F3BA1665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43</xdr:row>
      <xdr:rowOff>0</xdr:rowOff>
    </xdr:from>
    <xdr:to>
      <xdr:col>21</xdr:col>
      <xdr:colOff>321732</xdr:colOff>
      <xdr:row>58</xdr:row>
      <xdr:rowOff>30843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CC3144-293D-4533-8638-0244B5B00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317500</xdr:colOff>
      <xdr:row>12</xdr:row>
      <xdr:rowOff>433010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B1175-AD6C-432A-97B6-C8401B15E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14</xdr:row>
      <xdr:rowOff>0</xdr:rowOff>
    </xdr:from>
    <xdr:to>
      <xdr:col>21</xdr:col>
      <xdr:colOff>321732</xdr:colOff>
      <xdr:row>27</xdr:row>
      <xdr:rowOff>73176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D65856-0CCC-4757-A95D-210EA618D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21</xdr:col>
      <xdr:colOff>321732</xdr:colOff>
      <xdr:row>42</xdr:row>
      <xdr:rowOff>73176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55C424-9BD5-44CD-9061-640EB1B6B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44</xdr:row>
      <xdr:rowOff>0</xdr:rowOff>
    </xdr:from>
    <xdr:to>
      <xdr:col>21</xdr:col>
      <xdr:colOff>321732</xdr:colOff>
      <xdr:row>59</xdr:row>
      <xdr:rowOff>30843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78E37D-94B1-4F6A-BF3A-536FDD17A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370417</xdr:colOff>
      <xdr:row>0</xdr:row>
      <xdr:rowOff>31750</xdr:rowOff>
    </xdr:from>
    <xdr:to>
      <xdr:col>21</xdr:col>
      <xdr:colOff>74083</xdr:colOff>
      <xdr:row>12</xdr:row>
      <xdr:rowOff>284843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7327F5-0D5B-4F55-81BE-65B62C38F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13</xdr:row>
      <xdr:rowOff>0</xdr:rowOff>
    </xdr:from>
    <xdr:to>
      <xdr:col>21</xdr:col>
      <xdr:colOff>317500</xdr:colOff>
      <xdr:row>26</xdr:row>
      <xdr:rowOff>73177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BE259C-2CBF-4BA9-866A-CD0687628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10583</xdr:colOff>
      <xdr:row>27</xdr:row>
      <xdr:rowOff>137583</xdr:rowOff>
    </xdr:from>
    <xdr:to>
      <xdr:col>21</xdr:col>
      <xdr:colOff>328083</xdr:colOff>
      <xdr:row>41</xdr:row>
      <xdr:rowOff>30843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70D321-06BD-4877-B1CE-47F93594D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42</xdr:row>
      <xdr:rowOff>0</xdr:rowOff>
    </xdr:from>
    <xdr:to>
      <xdr:col>21</xdr:col>
      <xdr:colOff>317500</xdr:colOff>
      <xdr:row>57</xdr:row>
      <xdr:rowOff>30843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C58A3E-4A4B-49CE-92F9-FD7CEB413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317500</xdr:colOff>
      <xdr:row>12</xdr:row>
      <xdr:rowOff>433010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BE164-A38C-4478-A707-68D5299DD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14</xdr:row>
      <xdr:rowOff>0</xdr:rowOff>
    </xdr:from>
    <xdr:to>
      <xdr:col>21</xdr:col>
      <xdr:colOff>317500</xdr:colOff>
      <xdr:row>27</xdr:row>
      <xdr:rowOff>73176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49B48F-C2F0-4F82-B338-C4BBC4AB3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29</xdr:row>
      <xdr:rowOff>0</xdr:rowOff>
    </xdr:from>
    <xdr:to>
      <xdr:col>21</xdr:col>
      <xdr:colOff>317500</xdr:colOff>
      <xdr:row>44</xdr:row>
      <xdr:rowOff>30843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5B019E-A43A-4C1C-82B5-CEC0E4B66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FA67-D893-4F32-85C4-1B638ED718DF}">
  <dimension ref="A1:X43"/>
  <sheetViews>
    <sheetView zoomScale="60" zoomScaleNormal="60" workbookViewId="0">
      <selection activeCell="C9" sqref="C9"/>
    </sheetView>
  </sheetViews>
  <sheetFormatPr defaultRowHeight="14.5" x14ac:dyDescent="0.35"/>
  <cols>
    <col min="1" max="1" width="16.453125" bestFit="1" customWidth="1"/>
    <col min="2" max="2" width="25.7265625" bestFit="1" customWidth="1"/>
    <col min="3" max="3" width="25.54296875" bestFit="1" customWidth="1"/>
    <col min="4" max="5" width="17.7265625" customWidth="1"/>
    <col min="7" max="7" width="14.54296875" customWidth="1"/>
    <col min="10" max="10" width="12.6328125" bestFit="1" customWidth="1"/>
    <col min="11" max="11" width="13.1796875" customWidth="1"/>
  </cols>
  <sheetData>
    <row r="1" spans="1:24" x14ac:dyDescent="0.35">
      <c r="D1" s="11" t="s">
        <v>31</v>
      </c>
      <c r="E1" s="11"/>
    </row>
    <row r="2" spans="1:24" ht="39" x14ac:dyDescent="0.35">
      <c r="A2" s="2" t="s">
        <v>1</v>
      </c>
      <c r="B2" s="2" t="s">
        <v>6</v>
      </c>
      <c r="C2" s="2" t="s">
        <v>7</v>
      </c>
      <c r="D2" s="2" t="s">
        <v>0</v>
      </c>
      <c r="E2" s="2" t="s">
        <v>28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5" t="s">
        <v>19</v>
      </c>
    </row>
    <row r="3" spans="1:24" ht="15.5" customHeight="1" x14ac:dyDescent="0.35">
      <c r="A3" s="2" t="s">
        <v>2</v>
      </c>
      <c r="B3" s="2">
        <v>7.5</v>
      </c>
      <c r="C3" s="2">
        <v>7.8</v>
      </c>
      <c r="D3" s="7">
        <v>2021</v>
      </c>
      <c r="E3" s="7" cm="1">
        <f t="array" ref="E3">SQRT(SUM((B3:B10-C3:C10)^2)/COUNT(B3:B10))</f>
        <v>0.29675326451447814</v>
      </c>
      <c r="F3" s="10">
        <f>PEARSON(B3:B10,C3:C10)</f>
        <v>0.98943436812434959</v>
      </c>
      <c r="G3" s="10">
        <f>COUNT(B3:B10)</f>
        <v>8</v>
      </c>
      <c r="H3" s="10">
        <f>(ABS(F3)*SQRT(G3-2))/(SQRT(1-F3^2))</f>
        <v>16.716681619107426</v>
      </c>
      <c r="I3" s="10">
        <f>(G3-2)</f>
        <v>6</v>
      </c>
      <c r="J3" s="10">
        <f>TDIST(H3,I3,2)</f>
        <v>2.9253552227166326E-6</v>
      </c>
      <c r="K3" s="10">
        <v>0.05</v>
      </c>
      <c r="L3" s="10">
        <f>_xlfn.T.INV.2T(K3,I3)</f>
        <v>2.4469118511449697</v>
      </c>
      <c r="M3" s="6" t="s">
        <v>29</v>
      </c>
      <c r="W3">
        <v>0</v>
      </c>
      <c r="X3">
        <v>0</v>
      </c>
    </row>
    <row r="4" spans="1:24" x14ac:dyDescent="0.35">
      <c r="A4" s="2" t="s">
        <v>3</v>
      </c>
      <c r="B4" s="2">
        <v>4.9000000000000004</v>
      </c>
      <c r="C4" s="2">
        <v>5.5</v>
      </c>
      <c r="D4" s="8"/>
      <c r="E4" s="8"/>
      <c r="F4" s="10"/>
      <c r="G4" s="10"/>
      <c r="H4" s="10"/>
      <c r="I4" s="10"/>
      <c r="J4" s="10"/>
      <c r="K4" s="10"/>
      <c r="L4" s="10"/>
      <c r="M4" s="6"/>
      <c r="W4">
        <f>MAX(B3:B10)</f>
        <v>10.7</v>
      </c>
      <c r="X4">
        <f>MAX(C3:C10)</f>
        <v>10.51</v>
      </c>
    </row>
    <row r="5" spans="1:24" x14ac:dyDescent="0.35">
      <c r="A5" s="2" t="s">
        <v>4</v>
      </c>
      <c r="B5" s="2">
        <v>9.3000000000000007</v>
      </c>
      <c r="C5" s="2">
        <v>9.75</v>
      </c>
      <c r="D5" s="8"/>
      <c r="E5" s="8"/>
      <c r="F5" s="10"/>
      <c r="G5" s="10"/>
      <c r="H5" s="10"/>
      <c r="I5" s="10"/>
      <c r="J5" s="10"/>
      <c r="K5" s="10"/>
      <c r="L5" s="10"/>
      <c r="M5" s="6"/>
    </row>
    <row r="6" spans="1:24" x14ac:dyDescent="0.35">
      <c r="A6" s="2" t="s">
        <v>5</v>
      </c>
      <c r="B6" s="2">
        <v>7.7</v>
      </c>
      <c r="C6" s="2">
        <v>7.65</v>
      </c>
      <c r="D6" s="9"/>
      <c r="E6" s="8"/>
      <c r="F6" s="10"/>
      <c r="G6" s="10"/>
      <c r="H6" s="10"/>
      <c r="I6" s="10"/>
      <c r="J6" s="10"/>
      <c r="K6" s="10"/>
      <c r="L6" s="10"/>
      <c r="M6" s="6"/>
    </row>
    <row r="7" spans="1:24" x14ac:dyDescent="0.35">
      <c r="A7" s="2" t="s">
        <v>2</v>
      </c>
      <c r="B7" s="2">
        <v>8.3000000000000007</v>
      </c>
      <c r="C7" s="2">
        <v>8.27</v>
      </c>
      <c r="D7" s="7">
        <v>2022</v>
      </c>
      <c r="E7" s="8"/>
      <c r="F7" s="10"/>
      <c r="G7" s="10"/>
      <c r="H7" s="10"/>
      <c r="I7" s="10"/>
      <c r="J7" s="10"/>
      <c r="K7" s="10"/>
      <c r="L7" s="10"/>
      <c r="M7" s="6" t="s">
        <v>30</v>
      </c>
    </row>
    <row r="8" spans="1:24" x14ac:dyDescent="0.35">
      <c r="A8" s="2" t="s">
        <v>3</v>
      </c>
      <c r="B8" s="2">
        <v>5.3</v>
      </c>
      <c r="C8" s="2">
        <v>5.2</v>
      </c>
      <c r="D8" s="8"/>
      <c r="E8" s="8"/>
      <c r="F8" s="10"/>
      <c r="G8" s="10"/>
      <c r="H8" s="10"/>
      <c r="I8" s="10"/>
      <c r="J8" s="10"/>
      <c r="K8" s="10"/>
      <c r="L8" s="10"/>
      <c r="M8" s="6"/>
    </row>
    <row r="9" spans="1:24" x14ac:dyDescent="0.35">
      <c r="A9" s="2" t="s">
        <v>4</v>
      </c>
      <c r="B9" s="2">
        <v>10.7</v>
      </c>
      <c r="C9" s="2">
        <v>10.51</v>
      </c>
      <c r="D9" s="8"/>
      <c r="E9" s="8"/>
      <c r="F9" s="10"/>
      <c r="G9" s="10"/>
      <c r="H9" s="10"/>
      <c r="I9" s="10"/>
      <c r="J9" s="10"/>
      <c r="K9" s="10"/>
      <c r="L9" s="10"/>
      <c r="M9" s="6"/>
    </row>
    <row r="10" spans="1:24" x14ac:dyDescent="0.35">
      <c r="A10" s="2" t="s">
        <v>5</v>
      </c>
      <c r="B10" s="2">
        <v>8.8000000000000007</v>
      </c>
      <c r="C10" s="2">
        <v>8.75</v>
      </c>
      <c r="D10" s="9"/>
      <c r="E10" s="9"/>
      <c r="F10" s="10"/>
      <c r="G10" s="10"/>
      <c r="H10" s="10"/>
      <c r="I10" s="10"/>
      <c r="J10" s="10"/>
      <c r="K10" s="10"/>
      <c r="L10" s="10"/>
      <c r="M10" s="6"/>
    </row>
    <row r="13" spans="1:24" ht="39" x14ac:dyDescent="0.35">
      <c r="A13" s="2" t="s">
        <v>1</v>
      </c>
      <c r="B13" s="2" t="s">
        <v>20</v>
      </c>
      <c r="C13" s="2" t="s">
        <v>21</v>
      </c>
      <c r="D13" s="2" t="s">
        <v>0</v>
      </c>
      <c r="E13" s="2" t="s">
        <v>28</v>
      </c>
      <c r="F13" s="1" t="s">
        <v>8</v>
      </c>
      <c r="G13" s="1" t="s">
        <v>9</v>
      </c>
      <c r="H13" s="1" t="s">
        <v>10</v>
      </c>
      <c r="I13" s="1" t="s">
        <v>11</v>
      </c>
      <c r="J13" s="1" t="s">
        <v>12</v>
      </c>
      <c r="K13" s="1" t="s">
        <v>13</v>
      </c>
      <c r="L13" s="1" t="s">
        <v>14</v>
      </c>
      <c r="M13" s="1" t="s">
        <v>19</v>
      </c>
    </row>
    <row r="14" spans="1:24" x14ac:dyDescent="0.35">
      <c r="A14" s="2" t="s">
        <v>2</v>
      </c>
      <c r="B14" s="2">
        <v>10</v>
      </c>
      <c r="C14" s="2">
        <v>10.1</v>
      </c>
      <c r="D14" s="7">
        <v>2021</v>
      </c>
      <c r="E14" s="7" cm="1">
        <f t="array" ref="E14">SQRT(SUM((B14:B21-C14:C21)^2)/COUNT(B14:B21))</f>
        <v>0.43737855457258079</v>
      </c>
      <c r="F14" s="10">
        <f>PEARSON(B14:B21,C14:C21)</f>
        <v>0.99752171173593562</v>
      </c>
      <c r="G14" s="10">
        <f>COUNT(B14:B21)</f>
        <v>8</v>
      </c>
      <c r="H14" s="10">
        <f>(ABS(F14)*SQRT(G14-2))/(SQRT(1-F14^2))</f>
        <v>34.727723736198563</v>
      </c>
      <c r="I14" s="10">
        <f>(G14-2)</f>
        <v>6</v>
      </c>
      <c r="J14" s="10">
        <f>TDIST(H14,I14,2)</f>
        <v>3.7982879791994448E-8</v>
      </c>
      <c r="K14" s="10">
        <v>0.05</v>
      </c>
      <c r="L14" s="10">
        <f>_xlfn.T.INV.2T(K14,I14)</f>
        <v>2.4469118511449697</v>
      </c>
      <c r="M14" s="6" t="s">
        <v>29</v>
      </c>
      <c r="W14">
        <v>0</v>
      </c>
      <c r="X14">
        <v>0</v>
      </c>
    </row>
    <row r="15" spans="1:24" x14ac:dyDescent="0.35">
      <c r="A15" s="2" t="s">
        <v>3</v>
      </c>
      <c r="B15" s="2">
        <v>4.9000000000000004</v>
      </c>
      <c r="C15" s="2">
        <v>4.8499999999999996</v>
      </c>
      <c r="D15" s="8"/>
      <c r="E15" s="8"/>
      <c r="F15" s="10"/>
      <c r="G15" s="10"/>
      <c r="H15" s="10"/>
      <c r="I15" s="10"/>
      <c r="J15" s="10"/>
      <c r="K15" s="10"/>
      <c r="L15" s="10"/>
      <c r="M15" s="6"/>
      <c r="W15">
        <f>MAX(B14:B21)</f>
        <v>13</v>
      </c>
      <c r="X15">
        <f>MAX(C14:C21)</f>
        <v>13.8</v>
      </c>
    </row>
    <row r="16" spans="1:24" x14ac:dyDescent="0.35">
      <c r="A16" s="2" t="s">
        <v>4</v>
      </c>
      <c r="B16" s="2">
        <v>12.25</v>
      </c>
      <c r="C16" s="2">
        <v>13.1</v>
      </c>
      <c r="D16" s="8"/>
      <c r="E16" s="8"/>
      <c r="F16" s="10"/>
      <c r="G16" s="10"/>
      <c r="H16" s="10"/>
      <c r="I16" s="10"/>
      <c r="J16" s="10"/>
      <c r="K16" s="10"/>
      <c r="L16" s="10"/>
      <c r="M16" s="6"/>
    </row>
    <row r="17" spans="1:24" x14ac:dyDescent="0.35">
      <c r="A17" s="2" t="s">
        <v>5</v>
      </c>
      <c r="B17" s="2">
        <v>8.5</v>
      </c>
      <c r="C17" s="2">
        <v>8.73</v>
      </c>
      <c r="D17" s="9"/>
      <c r="E17" s="8"/>
      <c r="F17" s="10"/>
      <c r="G17" s="10"/>
      <c r="H17" s="10"/>
      <c r="I17" s="10"/>
      <c r="J17" s="10"/>
      <c r="K17" s="10"/>
      <c r="L17" s="10"/>
      <c r="M17" s="6"/>
    </row>
    <row r="18" spans="1:24" x14ac:dyDescent="0.35">
      <c r="A18" s="2" t="s">
        <v>2</v>
      </c>
      <c r="B18" s="2">
        <v>13</v>
      </c>
      <c r="C18" s="2">
        <v>13.2</v>
      </c>
      <c r="D18" s="7">
        <v>2022</v>
      </c>
      <c r="E18" s="8"/>
      <c r="F18" s="10"/>
      <c r="G18" s="10"/>
      <c r="H18" s="10"/>
      <c r="I18" s="10"/>
      <c r="J18" s="10"/>
      <c r="K18" s="10"/>
      <c r="L18" s="10"/>
      <c r="M18" s="6" t="s">
        <v>30</v>
      </c>
    </row>
    <row r="19" spans="1:24" x14ac:dyDescent="0.35">
      <c r="A19" s="2" t="s">
        <v>3</v>
      </c>
      <c r="B19" s="2">
        <v>5.5</v>
      </c>
      <c r="C19" s="2">
        <v>5.65</v>
      </c>
      <c r="D19" s="8"/>
      <c r="E19" s="8"/>
      <c r="F19" s="10"/>
      <c r="G19" s="10"/>
      <c r="H19" s="10"/>
      <c r="I19" s="10"/>
      <c r="J19" s="10"/>
      <c r="K19" s="10"/>
      <c r="L19" s="10"/>
      <c r="M19" s="6"/>
    </row>
    <row r="20" spans="1:24" x14ac:dyDescent="0.35">
      <c r="A20" s="2" t="s">
        <v>4</v>
      </c>
      <c r="B20" s="2">
        <v>13</v>
      </c>
      <c r="C20" s="2">
        <v>13.8</v>
      </c>
      <c r="D20" s="8"/>
      <c r="E20" s="8"/>
      <c r="F20" s="10"/>
      <c r="G20" s="10"/>
      <c r="H20" s="10"/>
      <c r="I20" s="10"/>
      <c r="J20" s="10"/>
      <c r="K20" s="10"/>
      <c r="L20" s="10"/>
      <c r="M20" s="6"/>
    </row>
    <row r="21" spans="1:24" x14ac:dyDescent="0.35">
      <c r="A21" s="2" t="s">
        <v>5</v>
      </c>
      <c r="B21" s="2">
        <v>10</v>
      </c>
      <c r="C21" s="2">
        <v>10.199999999999999</v>
      </c>
      <c r="D21" s="9"/>
      <c r="E21" s="9"/>
      <c r="F21" s="10"/>
      <c r="G21" s="10"/>
      <c r="H21" s="10"/>
      <c r="I21" s="10"/>
      <c r="J21" s="10"/>
      <c r="K21" s="10"/>
      <c r="L21" s="10"/>
      <c r="M21" s="6"/>
    </row>
    <row r="24" spans="1:24" ht="39" x14ac:dyDescent="0.35">
      <c r="A24" s="2" t="s">
        <v>1</v>
      </c>
      <c r="B24" s="2" t="s">
        <v>32</v>
      </c>
      <c r="C24" s="2" t="s">
        <v>33</v>
      </c>
      <c r="D24" s="2" t="s">
        <v>0</v>
      </c>
      <c r="E24" s="2" t="s">
        <v>28</v>
      </c>
      <c r="F24" s="1" t="s">
        <v>8</v>
      </c>
      <c r="G24" s="1" t="s">
        <v>9</v>
      </c>
      <c r="H24" s="1" t="s">
        <v>10</v>
      </c>
      <c r="I24" s="1" t="s">
        <v>11</v>
      </c>
      <c r="J24" s="1" t="s">
        <v>12</v>
      </c>
      <c r="K24" s="1" t="s">
        <v>13</v>
      </c>
      <c r="L24" s="1" t="s">
        <v>14</v>
      </c>
      <c r="M24" s="1" t="s">
        <v>19</v>
      </c>
    </row>
    <row r="25" spans="1:24" x14ac:dyDescent="0.35">
      <c r="A25" s="2" t="s">
        <v>2</v>
      </c>
      <c r="B25" s="2">
        <v>5.4</v>
      </c>
      <c r="C25" s="2">
        <v>6</v>
      </c>
      <c r="D25" s="7">
        <v>2021</v>
      </c>
      <c r="E25" s="7" cm="1">
        <f t="array" ref="E25">SQRT(SUM((B25:B32-C25:C32)^2)/COUNT(B25:B32))</f>
        <v>0.65930834971202967</v>
      </c>
      <c r="F25" s="10">
        <f>PEARSON(B25:B32,C25:C32)</f>
        <v>0.98308715572079564</v>
      </c>
      <c r="G25" s="10">
        <f>COUNT(B25:B32)</f>
        <v>8</v>
      </c>
      <c r="H25" s="10">
        <f>(ABS(F25)*SQRT(G25-2))/(SQRT(1-F25^2))</f>
        <v>13.148869685180943</v>
      </c>
      <c r="I25" s="10">
        <f>(G25-2)</f>
        <v>6</v>
      </c>
      <c r="J25" s="10">
        <f>TDIST(H25,I25,2)</f>
        <v>1.1941660745019448E-5</v>
      </c>
      <c r="K25" s="10">
        <v>0.05</v>
      </c>
      <c r="L25" s="10">
        <f>_xlfn.T.INV.2T(K25,I25)</f>
        <v>2.4469118511449697</v>
      </c>
      <c r="M25" s="6" t="s">
        <v>29</v>
      </c>
      <c r="W25">
        <v>0</v>
      </c>
      <c r="X25">
        <v>0</v>
      </c>
    </row>
    <row r="26" spans="1:24" x14ac:dyDescent="0.35">
      <c r="A26" s="2" t="s">
        <v>3</v>
      </c>
      <c r="B26" s="2">
        <v>3</v>
      </c>
      <c r="C26" s="2">
        <v>4</v>
      </c>
      <c r="D26" s="8"/>
      <c r="E26" s="8"/>
      <c r="F26" s="10"/>
      <c r="G26" s="10"/>
      <c r="H26" s="10"/>
      <c r="I26" s="10"/>
      <c r="J26" s="10"/>
      <c r="K26" s="10"/>
      <c r="L26" s="10"/>
      <c r="M26" s="6"/>
      <c r="W26">
        <f>MAX(B25:B32)</f>
        <v>8</v>
      </c>
      <c r="X26">
        <f>MAX(C25:C32)</f>
        <v>9</v>
      </c>
    </row>
    <row r="27" spans="1:24" x14ac:dyDescent="0.35">
      <c r="A27" s="2" t="s">
        <v>4</v>
      </c>
      <c r="B27" s="2">
        <v>6</v>
      </c>
      <c r="C27" s="2">
        <v>6.7</v>
      </c>
      <c r="D27" s="8"/>
      <c r="E27" s="8"/>
      <c r="F27" s="10"/>
      <c r="G27" s="10"/>
      <c r="H27" s="10"/>
      <c r="I27" s="10"/>
      <c r="J27" s="10"/>
      <c r="K27" s="10"/>
      <c r="L27" s="10"/>
      <c r="M27" s="6"/>
    </row>
    <row r="28" spans="1:24" x14ac:dyDescent="0.35">
      <c r="A28" s="2" t="s">
        <v>5</v>
      </c>
      <c r="B28" s="2">
        <v>5.25</v>
      </c>
      <c r="C28" s="2">
        <v>5.7</v>
      </c>
      <c r="D28" s="9"/>
      <c r="E28" s="8"/>
      <c r="F28" s="10"/>
      <c r="G28" s="10"/>
      <c r="H28" s="10"/>
      <c r="I28" s="10"/>
      <c r="J28" s="10"/>
      <c r="K28" s="10"/>
      <c r="L28" s="10"/>
      <c r="M28" s="6"/>
    </row>
    <row r="29" spans="1:24" x14ac:dyDescent="0.35">
      <c r="A29" s="2" t="s">
        <v>2</v>
      </c>
      <c r="B29" s="2">
        <v>5.8</v>
      </c>
      <c r="C29" s="2">
        <v>6.25</v>
      </c>
      <c r="D29" s="7">
        <v>2022</v>
      </c>
      <c r="E29" s="8"/>
      <c r="F29" s="10"/>
      <c r="G29" s="10"/>
      <c r="H29" s="10"/>
      <c r="I29" s="10"/>
      <c r="J29" s="10"/>
      <c r="K29" s="10"/>
      <c r="L29" s="10"/>
      <c r="M29" s="6" t="s">
        <v>30</v>
      </c>
    </row>
    <row r="30" spans="1:24" x14ac:dyDescent="0.35">
      <c r="A30" s="2" t="s">
        <v>3</v>
      </c>
      <c r="B30" s="2">
        <v>4.5</v>
      </c>
      <c r="C30" s="2">
        <v>4.75</v>
      </c>
      <c r="D30" s="8"/>
      <c r="E30" s="8"/>
      <c r="F30" s="10"/>
      <c r="G30" s="10"/>
      <c r="H30" s="10"/>
      <c r="I30" s="10"/>
      <c r="J30" s="10"/>
      <c r="K30" s="10"/>
      <c r="L30" s="10"/>
      <c r="M30" s="6"/>
    </row>
    <row r="31" spans="1:24" x14ac:dyDescent="0.35">
      <c r="A31" s="2" t="s">
        <v>4</v>
      </c>
      <c r="B31" s="2">
        <v>8</v>
      </c>
      <c r="C31" s="2">
        <v>9</v>
      </c>
      <c r="D31" s="8"/>
      <c r="E31" s="8"/>
      <c r="F31" s="10"/>
      <c r="G31" s="10"/>
      <c r="H31" s="10"/>
      <c r="I31" s="10"/>
      <c r="J31" s="10"/>
      <c r="K31" s="10"/>
      <c r="L31" s="10"/>
      <c r="M31" s="6"/>
    </row>
    <row r="32" spans="1:24" x14ac:dyDescent="0.35">
      <c r="A32" s="2" t="s">
        <v>5</v>
      </c>
      <c r="B32" s="2">
        <v>6.6</v>
      </c>
      <c r="C32" s="2">
        <v>7</v>
      </c>
      <c r="D32" s="9"/>
      <c r="E32" s="9"/>
      <c r="F32" s="10"/>
      <c r="G32" s="10"/>
      <c r="H32" s="10"/>
      <c r="I32" s="10"/>
      <c r="J32" s="10"/>
      <c r="K32" s="10"/>
      <c r="L32" s="10"/>
      <c r="M32" s="6"/>
    </row>
    <row r="35" spans="1:24" ht="39" x14ac:dyDescent="0.35">
      <c r="A35" s="2" t="s">
        <v>1</v>
      </c>
      <c r="B35" s="2" t="s">
        <v>24</v>
      </c>
      <c r="C35" s="2" t="s">
        <v>25</v>
      </c>
      <c r="D35" s="2" t="s">
        <v>0</v>
      </c>
      <c r="E35" s="2" t="s">
        <v>28</v>
      </c>
      <c r="F35" s="1" t="s">
        <v>8</v>
      </c>
      <c r="G35" s="1" t="s">
        <v>9</v>
      </c>
      <c r="H35" s="1" t="s">
        <v>10</v>
      </c>
      <c r="I35" s="1" t="s">
        <v>11</v>
      </c>
      <c r="J35" s="1" t="s">
        <v>12</v>
      </c>
      <c r="K35" s="1" t="s">
        <v>13</v>
      </c>
      <c r="L35" s="1" t="s">
        <v>14</v>
      </c>
      <c r="M35" s="1" t="s">
        <v>19</v>
      </c>
    </row>
    <row r="36" spans="1:24" x14ac:dyDescent="0.35">
      <c r="A36" s="2" t="s">
        <v>2</v>
      </c>
      <c r="B36" s="2">
        <v>4.5</v>
      </c>
      <c r="C36" s="2">
        <v>4</v>
      </c>
      <c r="D36" s="7">
        <v>2021</v>
      </c>
      <c r="E36" s="7" cm="1">
        <f t="array" ref="E36">SQRT(SUM((B36:B43-C36:C43)^2)/COUNT(B36:B43))</f>
        <v>0.42724407544166126</v>
      </c>
      <c r="F36" s="10">
        <f>PEARSON(B36:B43,C36:C43)</f>
        <v>0.99129360860471061</v>
      </c>
      <c r="G36" s="10">
        <f>COUNT(B36:B43)</f>
        <v>8</v>
      </c>
      <c r="H36" s="10">
        <f>(ABS(F36)*SQRT(G36-2))/(SQRT(1-F36^2))</f>
        <v>18.441285348306199</v>
      </c>
      <c r="I36" s="10">
        <f>G36-2</f>
        <v>6</v>
      </c>
      <c r="J36" s="10">
        <f>TDIST(H36,I36,2)</f>
        <v>1.6391337303365089E-6</v>
      </c>
      <c r="K36" s="10">
        <v>0.05</v>
      </c>
      <c r="L36" s="10">
        <f>_xlfn.T.INV.2T(K36,I36)</f>
        <v>2.4469118511449697</v>
      </c>
      <c r="M36" s="6" t="s">
        <v>29</v>
      </c>
      <c r="W36">
        <v>0</v>
      </c>
      <c r="X36">
        <v>0</v>
      </c>
    </row>
    <row r="37" spans="1:24" x14ac:dyDescent="0.35">
      <c r="A37" s="2" t="s">
        <v>3</v>
      </c>
      <c r="B37" s="2">
        <v>2</v>
      </c>
      <c r="C37" s="2">
        <v>2.2200000000000002</v>
      </c>
      <c r="D37" s="8"/>
      <c r="E37" s="8"/>
      <c r="F37" s="10"/>
      <c r="G37" s="10"/>
      <c r="H37" s="10"/>
      <c r="I37" s="10"/>
      <c r="J37" s="10"/>
      <c r="K37" s="10"/>
      <c r="L37" s="10"/>
      <c r="M37" s="6"/>
      <c r="W37">
        <f>MAX(B36:B43)</f>
        <v>11.25</v>
      </c>
      <c r="X37">
        <f>MAX(C36:C43)</f>
        <v>11.11</v>
      </c>
    </row>
    <row r="38" spans="1:24" x14ac:dyDescent="0.35">
      <c r="A38" s="2" t="s">
        <v>4</v>
      </c>
      <c r="B38" s="2">
        <v>8.35</v>
      </c>
      <c r="C38" s="2">
        <v>8</v>
      </c>
      <c r="D38" s="8"/>
      <c r="E38" s="8"/>
      <c r="F38" s="10"/>
      <c r="G38" s="10"/>
      <c r="H38" s="10"/>
      <c r="I38" s="10"/>
      <c r="J38" s="10"/>
      <c r="K38" s="10"/>
      <c r="L38" s="10"/>
      <c r="M38" s="6"/>
    </row>
    <row r="39" spans="1:24" x14ac:dyDescent="0.35">
      <c r="A39" s="2" t="s">
        <v>5</v>
      </c>
      <c r="B39" s="2">
        <v>4</v>
      </c>
      <c r="C39" s="2">
        <v>3</v>
      </c>
      <c r="D39" s="9"/>
      <c r="E39" s="8"/>
      <c r="F39" s="10"/>
      <c r="G39" s="10"/>
      <c r="H39" s="10"/>
      <c r="I39" s="10"/>
      <c r="J39" s="10"/>
      <c r="K39" s="10"/>
      <c r="L39" s="10"/>
      <c r="M39" s="6"/>
    </row>
    <row r="40" spans="1:24" x14ac:dyDescent="0.35">
      <c r="A40" s="2" t="s">
        <v>2</v>
      </c>
      <c r="B40" s="2">
        <v>4.95</v>
      </c>
      <c r="C40" s="2">
        <v>5</v>
      </c>
      <c r="D40" s="7">
        <v>2022</v>
      </c>
      <c r="E40" s="8"/>
      <c r="F40" s="10"/>
      <c r="G40" s="10"/>
      <c r="H40" s="10"/>
      <c r="I40" s="10"/>
      <c r="J40" s="10"/>
      <c r="K40" s="10"/>
      <c r="L40" s="10"/>
      <c r="M40" s="6" t="s">
        <v>30</v>
      </c>
    </row>
    <row r="41" spans="1:24" x14ac:dyDescent="0.35">
      <c r="A41" s="2" t="s">
        <v>3</v>
      </c>
      <c r="B41" s="2">
        <v>2.75</v>
      </c>
      <c r="C41" s="2">
        <v>2.73</v>
      </c>
      <c r="D41" s="8"/>
      <c r="E41" s="8"/>
      <c r="F41" s="10"/>
      <c r="G41" s="10"/>
      <c r="H41" s="10"/>
      <c r="I41" s="10"/>
      <c r="J41" s="10"/>
      <c r="K41" s="10"/>
      <c r="L41" s="10"/>
      <c r="M41" s="6"/>
    </row>
    <row r="42" spans="1:24" x14ac:dyDescent="0.35">
      <c r="A42" s="2" t="s">
        <v>4</v>
      </c>
      <c r="B42" s="2">
        <v>11.25</v>
      </c>
      <c r="C42" s="2">
        <v>11.11</v>
      </c>
      <c r="D42" s="8"/>
      <c r="E42" s="8"/>
      <c r="F42" s="10"/>
      <c r="G42" s="10"/>
      <c r="H42" s="10"/>
      <c r="I42" s="10"/>
      <c r="J42" s="10"/>
      <c r="K42" s="10"/>
      <c r="L42" s="10"/>
      <c r="M42" s="6"/>
    </row>
    <row r="43" spans="1:24" x14ac:dyDescent="0.35">
      <c r="A43" s="2" t="s">
        <v>5</v>
      </c>
      <c r="B43" s="2">
        <v>4.3</v>
      </c>
      <c r="C43" s="2">
        <v>4.43</v>
      </c>
      <c r="D43" s="9"/>
      <c r="E43" s="9"/>
      <c r="F43" s="10"/>
      <c r="G43" s="10"/>
      <c r="H43" s="10"/>
      <c r="I43" s="10"/>
      <c r="J43" s="10"/>
      <c r="K43" s="10"/>
      <c r="L43" s="10"/>
      <c r="M43" s="6"/>
    </row>
  </sheetData>
  <mergeCells count="49">
    <mergeCell ref="I3:I10"/>
    <mergeCell ref="J3:J10"/>
    <mergeCell ref="K3:K10"/>
    <mergeCell ref="L3:L10"/>
    <mergeCell ref="E25:E32"/>
    <mergeCell ref="F3:F10"/>
    <mergeCell ref="G3:G10"/>
    <mergeCell ref="H3:H10"/>
    <mergeCell ref="E3:E10"/>
    <mergeCell ref="E14:E21"/>
    <mergeCell ref="M3:M6"/>
    <mergeCell ref="M7:M10"/>
    <mergeCell ref="D14:D17"/>
    <mergeCell ref="J25:J32"/>
    <mergeCell ref="K25:K32"/>
    <mergeCell ref="L25:L32"/>
    <mergeCell ref="J14:J21"/>
    <mergeCell ref="K14:K21"/>
    <mergeCell ref="L14:L21"/>
    <mergeCell ref="F25:F32"/>
    <mergeCell ref="G25:G32"/>
    <mergeCell ref="H25:H32"/>
    <mergeCell ref="I25:I32"/>
    <mergeCell ref="F14:F21"/>
    <mergeCell ref="G14:G21"/>
    <mergeCell ref="H14:H21"/>
    <mergeCell ref="D1:E1"/>
    <mergeCell ref="D25:D28"/>
    <mergeCell ref="D29:D32"/>
    <mergeCell ref="D36:D39"/>
    <mergeCell ref="D3:D6"/>
    <mergeCell ref="D7:D10"/>
    <mergeCell ref="E36:E43"/>
    <mergeCell ref="D40:D43"/>
    <mergeCell ref="M40:M43"/>
    <mergeCell ref="D18:D21"/>
    <mergeCell ref="I36:I43"/>
    <mergeCell ref="J36:J43"/>
    <mergeCell ref="K36:K43"/>
    <mergeCell ref="L36:L43"/>
    <mergeCell ref="I14:I21"/>
    <mergeCell ref="F36:F43"/>
    <mergeCell ref="G36:G43"/>
    <mergeCell ref="H36:H43"/>
    <mergeCell ref="M14:M17"/>
    <mergeCell ref="M18:M21"/>
    <mergeCell ref="M25:M28"/>
    <mergeCell ref="M29:M32"/>
    <mergeCell ref="M36:M3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4BB5-80F2-4AD6-92B6-E446540D3DDA}">
  <dimension ref="A1:X43"/>
  <sheetViews>
    <sheetView zoomScale="60" zoomScaleNormal="60" workbookViewId="0">
      <selection activeCell="G59" sqref="G59"/>
    </sheetView>
  </sheetViews>
  <sheetFormatPr defaultRowHeight="14.5" x14ac:dyDescent="0.35"/>
  <cols>
    <col min="1" max="1" width="16.453125" bestFit="1" customWidth="1"/>
    <col min="2" max="2" width="25.7265625" bestFit="1" customWidth="1"/>
    <col min="3" max="3" width="25.54296875" bestFit="1" customWidth="1"/>
    <col min="4" max="5" width="17.7265625" customWidth="1"/>
    <col min="7" max="7" width="14.54296875" customWidth="1"/>
    <col min="11" max="11" width="13.1796875" customWidth="1"/>
  </cols>
  <sheetData>
    <row r="1" spans="1:24" x14ac:dyDescent="0.35">
      <c r="E1" s="11" t="s">
        <v>31</v>
      </c>
      <c r="F1" s="11"/>
    </row>
    <row r="2" spans="1:24" ht="39" x14ac:dyDescent="0.35">
      <c r="A2" s="2" t="s">
        <v>1</v>
      </c>
      <c r="B2" s="2" t="s">
        <v>6</v>
      </c>
      <c r="C2" s="2" t="s">
        <v>7</v>
      </c>
      <c r="D2" s="2" t="s">
        <v>0</v>
      </c>
      <c r="E2" s="2" t="s">
        <v>28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19</v>
      </c>
    </row>
    <row r="3" spans="1:24" ht="14.5" customHeight="1" x14ac:dyDescent="0.35">
      <c r="A3" s="2" t="s">
        <v>15</v>
      </c>
      <c r="B3" s="2">
        <v>3.2</v>
      </c>
      <c r="C3" s="2">
        <v>2.88</v>
      </c>
      <c r="D3" s="7">
        <v>2021</v>
      </c>
      <c r="E3" s="7" cm="1">
        <f t="array" ref="E3">SQRT(SUM((B3:B10-C3:C10)^2)/COUNT(B3:B10))</f>
        <v>0.1695951060614663</v>
      </c>
      <c r="F3" s="10">
        <f>PEARSON(B3:B10,C3:C10)</f>
        <v>0.98823209312152305</v>
      </c>
      <c r="G3" s="10">
        <f>COUNT(B3:B10)</f>
        <v>8</v>
      </c>
      <c r="H3" s="10">
        <f>(ABS(F3)*SQRT(G3-2))/(SQRT(1-F3^2))</f>
        <v>15.825280896414943</v>
      </c>
      <c r="I3" s="10">
        <f>(G3-2)</f>
        <v>6</v>
      </c>
      <c r="J3" s="10">
        <f>TDIST(H3,I3,2)</f>
        <v>4.0382826350784172E-6</v>
      </c>
      <c r="K3" s="10">
        <v>0.05</v>
      </c>
      <c r="L3" s="10">
        <f>_xlfn.T.INV.2T(K3,I3)</f>
        <v>2.4469118511449697</v>
      </c>
      <c r="M3" s="6" t="s">
        <v>29</v>
      </c>
      <c r="W3">
        <v>0</v>
      </c>
      <c r="X3">
        <v>0</v>
      </c>
    </row>
    <row r="4" spans="1:24" x14ac:dyDescent="0.35">
      <c r="A4" s="2" t="s">
        <v>16</v>
      </c>
      <c r="B4" s="2">
        <v>4</v>
      </c>
      <c r="C4" s="2">
        <v>3.88</v>
      </c>
      <c r="D4" s="8"/>
      <c r="E4" s="8"/>
      <c r="F4" s="10"/>
      <c r="G4" s="10"/>
      <c r="H4" s="10"/>
      <c r="I4" s="10"/>
      <c r="J4" s="10"/>
      <c r="K4" s="10"/>
      <c r="L4" s="10"/>
      <c r="M4" s="6"/>
      <c r="W4">
        <f>MAX(B3:B10)</f>
        <v>5.3</v>
      </c>
      <c r="X4">
        <f>MAX(C3:C10)</f>
        <v>5.5</v>
      </c>
    </row>
    <row r="5" spans="1:24" x14ac:dyDescent="0.35">
      <c r="A5" s="2" t="s">
        <v>17</v>
      </c>
      <c r="B5" s="2">
        <v>3.75</v>
      </c>
      <c r="C5" s="2">
        <v>3.7</v>
      </c>
      <c r="D5" s="8"/>
      <c r="E5" s="8"/>
      <c r="F5" s="10"/>
      <c r="G5" s="10"/>
      <c r="H5" s="10"/>
      <c r="I5" s="10"/>
      <c r="J5" s="10"/>
      <c r="K5" s="10"/>
      <c r="L5" s="10"/>
      <c r="M5" s="6"/>
    </row>
    <row r="6" spans="1:24" x14ac:dyDescent="0.35">
      <c r="A6" s="2" t="s">
        <v>18</v>
      </c>
      <c r="B6" s="2">
        <v>4.8</v>
      </c>
      <c r="C6" s="2">
        <v>4.75</v>
      </c>
      <c r="D6" s="9"/>
      <c r="E6" s="8"/>
      <c r="F6" s="10"/>
      <c r="G6" s="10"/>
      <c r="H6" s="10"/>
      <c r="I6" s="10"/>
      <c r="J6" s="10"/>
      <c r="K6" s="10"/>
      <c r="L6" s="10"/>
      <c r="M6" s="6"/>
    </row>
    <row r="7" spans="1:24" x14ac:dyDescent="0.35">
      <c r="A7" s="2" t="s">
        <v>15</v>
      </c>
      <c r="B7" s="2">
        <v>3.6</v>
      </c>
      <c r="C7" s="2">
        <v>3.77</v>
      </c>
      <c r="D7" s="7">
        <v>2022</v>
      </c>
      <c r="E7" s="8"/>
      <c r="F7" s="10"/>
      <c r="G7" s="10"/>
      <c r="H7" s="10"/>
      <c r="I7" s="10"/>
      <c r="J7" s="10"/>
      <c r="K7" s="10"/>
      <c r="L7" s="10"/>
      <c r="M7" s="6" t="s">
        <v>30</v>
      </c>
    </row>
    <row r="8" spans="1:24" x14ac:dyDescent="0.35">
      <c r="A8" s="2" t="s">
        <v>16</v>
      </c>
      <c r="B8" s="2">
        <v>1.5</v>
      </c>
      <c r="C8" s="2">
        <v>1.63</v>
      </c>
      <c r="D8" s="8"/>
      <c r="E8" s="8"/>
      <c r="F8" s="10"/>
      <c r="G8" s="10"/>
      <c r="H8" s="10"/>
      <c r="I8" s="10"/>
      <c r="J8" s="10"/>
      <c r="K8" s="10"/>
      <c r="L8" s="10"/>
      <c r="M8" s="6"/>
    </row>
    <row r="9" spans="1:24" x14ac:dyDescent="0.35">
      <c r="A9" s="2" t="s">
        <v>17</v>
      </c>
      <c r="B9" s="2">
        <v>4.2</v>
      </c>
      <c r="C9" s="2">
        <v>4.3499999999999996</v>
      </c>
      <c r="D9" s="8"/>
      <c r="E9" s="8"/>
      <c r="F9" s="10"/>
      <c r="G9" s="10"/>
      <c r="H9" s="10"/>
      <c r="I9" s="10"/>
      <c r="J9" s="10"/>
      <c r="K9" s="10"/>
      <c r="L9" s="10"/>
      <c r="M9" s="6"/>
    </row>
    <row r="10" spans="1:24" x14ac:dyDescent="0.35">
      <c r="A10" s="2" t="s">
        <v>18</v>
      </c>
      <c r="B10" s="2">
        <v>5.3</v>
      </c>
      <c r="C10" s="2">
        <v>5.5</v>
      </c>
      <c r="D10" s="9"/>
      <c r="E10" s="9"/>
      <c r="F10" s="10"/>
      <c r="G10" s="10"/>
      <c r="H10" s="10"/>
      <c r="I10" s="10"/>
      <c r="J10" s="10"/>
      <c r="K10" s="10"/>
      <c r="L10" s="10"/>
      <c r="M10" s="6"/>
    </row>
    <row r="13" spans="1:24" ht="39" x14ac:dyDescent="0.35">
      <c r="A13" s="2" t="s">
        <v>1</v>
      </c>
      <c r="B13" s="2" t="s">
        <v>20</v>
      </c>
      <c r="C13" s="2" t="s">
        <v>21</v>
      </c>
      <c r="D13" s="2" t="s">
        <v>0</v>
      </c>
      <c r="E13" s="2" t="s">
        <v>28</v>
      </c>
      <c r="F13" s="1" t="s">
        <v>8</v>
      </c>
      <c r="G13" s="1" t="s">
        <v>9</v>
      </c>
      <c r="H13" s="1" t="s">
        <v>10</v>
      </c>
      <c r="I13" s="1" t="s">
        <v>11</v>
      </c>
      <c r="J13" s="1" t="s">
        <v>12</v>
      </c>
      <c r="K13" s="1" t="s">
        <v>13</v>
      </c>
      <c r="L13" s="1" t="s">
        <v>14</v>
      </c>
      <c r="M13" s="1" t="s">
        <v>19</v>
      </c>
    </row>
    <row r="14" spans="1:24" x14ac:dyDescent="0.35">
      <c r="A14" s="2" t="s">
        <v>15</v>
      </c>
      <c r="B14" s="2">
        <v>2.85</v>
      </c>
      <c r="C14" s="2">
        <v>2.6</v>
      </c>
      <c r="D14" s="7">
        <v>2021</v>
      </c>
      <c r="E14" s="7" cm="1">
        <f t="array" ref="E14">SQRT(SUM((B14:B21-C14:C21)^2)/COUNT(B14:B21))</f>
        <v>0.14243419533244109</v>
      </c>
      <c r="F14" s="10">
        <f>PEARSON(B14:B21,C14:C21)</f>
        <v>0.99295946161352933</v>
      </c>
      <c r="G14" s="10">
        <f>COUNT(B14:B21)</f>
        <v>8</v>
      </c>
      <c r="H14" s="10">
        <f>(ABS(F14)*SQRT(G14-2))/(SQRT(1-F14^2))</f>
        <v>20.533121444591959</v>
      </c>
      <c r="I14" s="10">
        <f>(G14-2)</f>
        <v>6</v>
      </c>
      <c r="J14" s="10">
        <f>TDIST(H14,I14,2)</f>
        <v>8.6788371786218499E-7</v>
      </c>
      <c r="K14" s="10">
        <v>0.05</v>
      </c>
      <c r="L14" s="10">
        <f>_xlfn.T.INV.2T(K14,I14)</f>
        <v>2.4469118511449697</v>
      </c>
      <c r="M14" s="6" t="s">
        <v>29</v>
      </c>
      <c r="W14">
        <v>0</v>
      </c>
      <c r="X14">
        <v>0</v>
      </c>
    </row>
    <row r="15" spans="1:24" x14ac:dyDescent="0.35">
      <c r="A15" s="2" t="s">
        <v>16</v>
      </c>
      <c r="B15" s="2">
        <v>3.35</v>
      </c>
      <c r="C15" s="2">
        <v>3.22</v>
      </c>
      <c r="D15" s="8"/>
      <c r="E15" s="8"/>
      <c r="F15" s="10"/>
      <c r="G15" s="10"/>
      <c r="H15" s="10"/>
      <c r="I15" s="10"/>
      <c r="J15" s="10"/>
      <c r="K15" s="10"/>
      <c r="L15" s="10"/>
      <c r="M15" s="6"/>
      <c r="W15">
        <f>MAX(B14:B21)</f>
        <v>5</v>
      </c>
      <c r="X15">
        <f>MAX(C14:C21)</f>
        <v>5.0999999999999996</v>
      </c>
    </row>
    <row r="16" spans="1:24" x14ac:dyDescent="0.35">
      <c r="A16" s="2" t="s">
        <v>17</v>
      </c>
      <c r="B16" s="2">
        <v>3.3</v>
      </c>
      <c r="C16" s="2">
        <v>3.2</v>
      </c>
      <c r="D16" s="8"/>
      <c r="E16" s="8"/>
      <c r="F16" s="10"/>
      <c r="G16" s="10"/>
      <c r="H16" s="10"/>
      <c r="I16" s="10"/>
      <c r="J16" s="10"/>
      <c r="K16" s="10"/>
      <c r="L16" s="10"/>
      <c r="M16" s="6"/>
    </row>
    <row r="17" spans="1:24" x14ac:dyDescent="0.35">
      <c r="A17" s="2" t="s">
        <v>18</v>
      </c>
      <c r="B17" s="2">
        <v>4.5</v>
      </c>
      <c r="C17" s="2">
        <v>4.5</v>
      </c>
      <c r="D17" s="9"/>
      <c r="E17" s="8"/>
      <c r="F17" s="10"/>
      <c r="G17" s="10"/>
      <c r="H17" s="10"/>
      <c r="I17" s="10"/>
      <c r="J17" s="10"/>
      <c r="K17" s="10"/>
      <c r="L17" s="10"/>
      <c r="M17" s="6"/>
    </row>
    <row r="18" spans="1:24" x14ac:dyDescent="0.35">
      <c r="A18" s="2" t="s">
        <v>15</v>
      </c>
      <c r="B18" s="2">
        <v>3.5</v>
      </c>
      <c r="C18" s="2">
        <v>3.5</v>
      </c>
      <c r="D18" s="7">
        <v>2022</v>
      </c>
      <c r="E18" s="8"/>
      <c r="F18" s="10"/>
      <c r="G18" s="10"/>
      <c r="H18" s="10"/>
      <c r="I18" s="10"/>
      <c r="J18" s="10"/>
      <c r="K18" s="10"/>
      <c r="L18" s="10"/>
      <c r="M18" s="6" t="s">
        <v>30</v>
      </c>
    </row>
    <row r="19" spans="1:24" x14ac:dyDescent="0.35">
      <c r="A19" s="2" t="s">
        <v>16</v>
      </c>
      <c r="B19" s="2">
        <v>0.75</v>
      </c>
      <c r="C19" s="2">
        <v>1</v>
      </c>
      <c r="D19" s="8"/>
      <c r="E19" s="8"/>
      <c r="F19" s="10"/>
      <c r="G19" s="10"/>
      <c r="H19" s="10"/>
      <c r="I19" s="10"/>
      <c r="J19" s="10"/>
      <c r="K19" s="10"/>
      <c r="L19" s="10"/>
      <c r="M19" s="6"/>
    </row>
    <row r="20" spans="1:24" x14ac:dyDescent="0.35">
      <c r="A20" s="2" t="s">
        <v>17</v>
      </c>
      <c r="B20" s="2">
        <v>3.75</v>
      </c>
      <c r="C20" s="2">
        <v>3.77</v>
      </c>
      <c r="D20" s="8"/>
      <c r="E20" s="8"/>
      <c r="F20" s="10"/>
      <c r="G20" s="10"/>
      <c r="H20" s="10"/>
      <c r="I20" s="10"/>
      <c r="J20" s="10"/>
      <c r="K20" s="10"/>
      <c r="L20" s="10"/>
      <c r="M20" s="6"/>
    </row>
    <row r="21" spans="1:24" x14ac:dyDescent="0.35">
      <c r="A21" s="2" t="s">
        <v>18</v>
      </c>
      <c r="B21" s="2">
        <v>5</v>
      </c>
      <c r="C21" s="2">
        <v>5.0999999999999996</v>
      </c>
      <c r="D21" s="9"/>
      <c r="E21" s="9"/>
      <c r="F21" s="10"/>
      <c r="G21" s="10"/>
      <c r="H21" s="10"/>
      <c r="I21" s="10"/>
      <c r="J21" s="10"/>
      <c r="K21" s="10"/>
      <c r="L21" s="10"/>
      <c r="M21" s="6"/>
    </row>
    <row r="24" spans="1:24" ht="39" x14ac:dyDescent="0.35">
      <c r="A24" s="2" t="s">
        <v>1</v>
      </c>
      <c r="B24" s="2" t="s">
        <v>22</v>
      </c>
      <c r="C24" s="2" t="s">
        <v>23</v>
      </c>
      <c r="D24" s="2" t="s">
        <v>0</v>
      </c>
      <c r="E24" s="2" t="s">
        <v>28</v>
      </c>
      <c r="F24" s="1" t="s">
        <v>8</v>
      </c>
      <c r="G24" s="1" t="s">
        <v>9</v>
      </c>
      <c r="H24" s="1" t="s">
        <v>10</v>
      </c>
      <c r="I24" s="1" t="s">
        <v>11</v>
      </c>
      <c r="J24" s="1" t="s">
        <v>12</v>
      </c>
      <c r="K24" s="1" t="s">
        <v>13</v>
      </c>
      <c r="L24" s="1" t="s">
        <v>14</v>
      </c>
      <c r="M24" s="1" t="s">
        <v>19</v>
      </c>
    </row>
    <row r="25" spans="1:24" x14ac:dyDescent="0.35">
      <c r="A25" s="2" t="s">
        <v>15</v>
      </c>
      <c r="B25" s="2">
        <v>2.5</v>
      </c>
      <c r="C25" s="2">
        <v>2.25</v>
      </c>
      <c r="D25" s="7">
        <v>2021</v>
      </c>
      <c r="E25" s="7" cm="1">
        <f t="array" ref="E25">SQRT(SUM((B25:B32-C25:C32)^2)/COUNT(B25:B32))</f>
        <v>0.18658108157045289</v>
      </c>
      <c r="F25" s="10">
        <f>PEARSON(B25:B32,C25:C32)</f>
        <v>0.97382595888444312</v>
      </c>
      <c r="G25" s="10">
        <f>COUNT(B25:B32)</f>
        <v>8</v>
      </c>
      <c r="H25" s="10">
        <f>(ABS(F25)*SQRT(G25-2))/(SQRT(1-F25^2))</f>
        <v>10.494630541640349</v>
      </c>
      <c r="I25" s="10">
        <f>(G25-2)</f>
        <v>6</v>
      </c>
      <c r="J25" s="10">
        <f>TDIST(H25,I25,2)</f>
        <v>4.3952911407822309E-5</v>
      </c>
      <c r="K25" s="10">
        <v>0.05</v>
      </c>
      <c r="L25" s="10">
        <f>_xlfn.T.INV.2T(K25,I25)</f>
        <v>2.4469118511449697</v>
      </c>
      <c r="M25" s="6" t="s">
        <v>29</v>
      </c>
      <c r="W25">
        <v>0</v>
      </c>
      <c r="X25">
        <v>0</v>
      </c>
    </row>
    <row r="26" spans="1:24" x14ac:dyDescent="0.35">
      <c r="A26" s="2" t="s">
        <v>16</v>
      </c>
      <c r="B26" s="2">
        <v>3.2</v>
      </c>
      <c r="C26" s="2">
        <v>3</v>
      </c>
      <c r="D26" s="8"/>
      <c r="E26" s="8"/>
      <c r="F26" s="10"/>
      <c r="G26" s="10"/>
      <c r="H26" s="10"/>
      <c r="I26" s="10"/>
      <c r="J26" s="10"/>
      <c r="K26" s="10"/>
      <c r="L26" s="10"/>
      <c r="M26" s="6"/>
      <c r="W26">
        <f>MAX(B25:B32)</f>
        <v>3.7</v>
      </c>
      <c r="X26">
        <f>MAX(C25:C32)</f>
        <v>3.77</v>
      </c>
    </row>
    <row r="27" spans="1:24" x14ac:dyDescent="0.35">
      <c r="A27" s="2" t="s">
        <v>17</v>
      </c>
      <c r="B27" s="2">
        <v>2.2999999999999998</v>
      </c>
      <c r="C27" s="2">
        <v>2.2200000000000002</v>
      </c>
      <c r="D27" s="8"/>
      <c r="E27" s="8"/>
      <c r="F27" s="10"/>
      <c r="G27" s="10"/>
      <c r="H27" s="10"/>
      <c r="I27" s="10"/>
      <c r="J27" s="10"/>
      <c r="K27" s="10"/>
      <c r="L27" s="10"/>
      <c r="M27" s="6"/>
    </row>
    <row r="28" spans="1:24" x14ac:dyDescent="0.35">
      <c r="A28" s="2" t="s">
        <v>18</v>
      </c>
      <c r="B28" s="2">
        <v>3.5</v>
      </c>
      <c r="C28" s="2">
        <v>3.27</v>
      </c>
      <c r="D28" s="9"/>
      <c r="E28" s="8"/>
      <c r="F28" s="10"/>
      <c r="G28" s="10"/>
      <c r="H28" s="10"/>
      <c r="I28" s="10"/>
      <c r="J28" s="10"/>
      <c r="K28" s="10"/>
      <c r="L28" s="10"/>
      <c r="M28" s="6"/>
    </row>
    <row r="29" spans="1:24" x14ac:dyDescent="0.35">
      <c r="A29" s="2" t="s">
        <v>15</v>
      </c>
      <c r="B29" s="2">
        <v>3</v>
      </c>
      <c r="C29" s="2">
        <v>3.13</v>
      </c>
      <c r="D29" s="7">
        <v>2022</v>
      </c>
      <c r="E29" s="8"/>
      <c r="F29" s="10"/>
      <c r="G29" s="10"/>
      <c r="H29" s="10"/>
      <c r="I29" s="10"/>
      <c r="J29" s="10"/>
      <c r="K29" s="10"/>
      <c r="L29" s="10"/>
      <c r="M29" s="6" t="s">
        <v>30</v>
      </c>
    </row>
    <row r="30" spans="1:24" x14ac:dyDescent="0.35">
      <c r="A30" s="2" t="s">
        <v>16</v>
      </c>
      <c r="B30" s="2">
        <v>1</v>
      </c>
      <c r="C30" s="2">
        <v>1.25</v>
      </c>
      <c r="D30" s="8"/>
      <c r="E30" s="8"/>
      <c r="F30" s="10"/>
      <c r="G30" s="10"/>
      <c r="H30" s="10"/>
      <c r="I30" s="10"/>
      <c r="J30" s="10"/>
      <c r="K30" s="10"/>
      <c r="L30" s="10"/>
      <c r="M30" s="6"/>
    </row>
    <row r="31" spans="1:24" x14ac:dyDescent="0.35">
      <c r="A31" s="2" t="s">
        <v>17</v>
      </c>
      <c r="B31" s="2">
        <v>3.25</v>
      </c>
      <c r="C31" s="2">
        <v>3.43</v>
      </c>
      <c r="D31" s="8"/>
      <c r="E31" s="8"/>
      <c r="F31" s="10"/>
      <c r="G31" s="10"/>
      <c r="H31" s="10"/>
      <c r="I31" s="10"/>
      <c r="J31" s="10"/>
      <c r="K31" s="10"/>
      <c r="L31" s="10"/>
      <c r="M31" s="6"/>
    </row>
    <row r="32" spans="1:24" x14ac:dyDescent="0.35">
      <c r="A32" s="2" t="s">
        <v>18</v>
      </c>
      <c r="B32" s="2">
        <v>3.7</v>
      </c>
      <c r="C32" s="2">
        <v>3.77</v>
      </c>
      <c r="D32" s="9"/>
      <c r="E32" s="9"/>
      <c r="F32" s="10"/>
      <c r="G32" s="10"/>
      <c r="H32" s="10"/>
      <c r="I32" s="10"/>
      <c r="J32" s="10"/>
      <c r="K32" s="10"/>
      <c r="L32" s="10"/>
      <c r="M32" s="6"/>
    </row>
    <row r="35" spans="1:24" ht="39" x14ac:dyDescent="0.35">
      <c r="A35" s="2" t="s">
        <v>1</v>
      </c>
      <c r="B35" s="2" t="s">
        <v>26</v>
      </c>
      <c r="C35" s="2" t="s">
        <v>27</v>
      </c>
      <c r="D35" s="2" t="s">
        <v>0</v>
      </c>
      <c r="E35" s="2" t="s">
        <v>28</v>
      </c>
      <c r="F35" s="1" t="s">
        <v>8</v>
      </c>
      <c r="G35" s="1" t="s">
        <v>9</v>
      </c>
      <c r="H35" s="1" t="s">
        <v>10</v>
      </c>
      <c r="I35" s="1" t="s">
        <v>11</v>
      </c>
      <c r="J35" s="1" t="s">
        <v>12</v>
      </c>
      <c r="K35" s="1" t="s">
        <v>13</v>
      </c>
      <c r="L35" s="1" t="s">
        <v>14</v>
      </c>
      <c r="M35" s="1" t="s">
        <v>19</v>
      </c>
    </row>
    <row r="36" spans="1:24" x14ac:dyDescent="0.35">
      <c r="A36" s="2" t="s">
        <v>15</v>
      </c>
      <c r="B36" s="2">
        <v>4.8499999999999996</v>
      </c>
      <c r="C36" s="2">
        <v>4.28</v>
      </c>
      <c r="D36" s="7">
        <v>2021</v>
      </c>
      <c r="E36" s="7" cm="1">
        <f t="array" ref="E36">SQRT(SUM((B36:B43-C36:C43)^2)/COUNT(B36:B43))</f>
        <v>0.30675723300355917</v>
      </c>
      <c r="F36" s="10">
        <f>PEARSON(B36:B43,C36:C43)</f>
        <v>0.98998524640229724</v>
      </c>
      <c r="G36" s="10">
        <f>COUNT(B36:B43)</f>
        <v>8</v>
      </c>
      <c r="H36" s="10">
        <f>(ABS(F36)*SQRT(G36-2))/(SQRT(1-F36^2))</f>
        <v>17.177473416601888</v>
      </c>
      <c r="I36" s="10">
        <f>(G36-2)</f>
        <v>6</v>
      </c>
      <c r="J36" s="10">
        <f>TDIST(H36,I36,2)</f>
        <v>2.4922584118004163E-6</v>
      </c>
      <c r="K36" s="10">
        <v>0.05</v>
      </c>
      <c r="L36" s="10">
        <f>_xlfn.T.INV.2T(K36,I36)</f>
        <v>2.4469118511449697</v>
      </c>
      <c r="M36" s="6" t="s">
        <v>29</v>
      </c>
      <c r="W36">
        <v>0</v>
      </c>
      <c r="X36">
        <v>0</v>
      </c>
    </row>
    <row r="37" spans="1:24" x14ac:dyDescent="0.35">
      <c r="A37" s="2" t="s">
        <v>16</v>
      </c>
      <c r="B37" s="2">
        <v>3.3</v>
      </c>
      <c r="C37" s="2">
        <v>3.28</v>
      </c>
      <c r="D37" s="8"/>
      <c r="E37" s="8"/>
      <c r="F37" s="10"/>
      <c r="G37" s="10"/>
      <c r="H37" s="10"/>
      <c r="I37" s="10"/>
      <c r="J37" s="10"/>
      <c r="K37" s="10"/>
      <c r="L37" s="10"/>
      <c r="M37" s="6"/>
      <c r="W37">
        <f>MAX(B36:B43)</f>
        <v>5</v>
      </c>
      <c r="X37">
        <f>MAX(C36:C43)</f>
        <v>4.75</v>
      </c>
    </row>
    <row r="38" spans="1:24" x14ac:dyDescent="0.35">
      <c r="A38" s="2" t="s">
        <v>17</v>
      </c>
      <c r="B38" s="2">
        <v>2</v>
      </c>
      <c r="C38" s="2">
        <v>2</v>
      </c>
      <c r="D38" s="8"/>
      <c r="E38" s="8"/>
      <c r="F38" s="10"/>
      <c r="G38" s="10"/>
      <c r="H38" s="10"/>
      <c r="I38" s="10"/>
      <c r="J38" s="10"/>
      <c r="K38" s="10"/>
      <c r="L38" s="10"/>
      <c r="M38" s="6"/>
    </row>
    <row r="39" spans="1:24" x14ac:dyDescent="0.35">
      <c r="A39" s="2" t="s">
        <v>18</v>
      </c>
      <c r="B39" s="2">
        <v>3.8</v>
      </c>
      <c r="C39" s="2">
        <v>3.5</v>
      </c>
      <c r="D39" s="9"/>
      <c r="E39" s="8"/>
      <c r="F39" s="10"/>
      <c r="G39" s="10"/>
      <c r="H39" s="10"/>
      <c r="I39" s="10"/>
      <c r="J39" s="10"/>
      <c r="K39" s="10"/>
      <c r="L39" s="10"/>
      <c r="M39" s="6"/>
    </row>
    <row r="40" spans="1:24" x14ac:dyDescent="0.35">
      <c r="A40" s="2" t="s">
        <v>15</v>
      </c>
      <c r="B40" s="2">
        <v>5</v>
      </c>
      <c r="C40" s="2">
        <v>4.75</v>
      </c>
      <c r="D40" s="7">
        <v>2022</v>
      </c>
      <c r="E40" s="8"/>
      <c r="F40" s="10"/>
      <c r="G40" s="10"/>
      <c r="H40" s="10"/>
      <c r="I40" s="10"/>
      <c r="J40" s="10"/>
      <c r="K40" s="10"/>
      <c r="L40" s="10"/>
      <c r="M40" s="6" t="s">
        <v>30</v>
      </c>
    </row>
    <row r="41" spans="1:24" x14ac:dyDescent="0.35">
      <c r="A41" s="2" t="s">
        <v>16</v>
      </c>
      <c r="B41" s="2">
        <v>0.5</v>
      </c>
      <c r="C41" s="2">
        <v>1</v>
      </c>
      <c r="D41" s="8"/>
      <c r="E41" s="8"/>
      <c r="F41" s="10"/>
      <c r="G41" s="10"/>
      <c r="H41" s="10"/>
      <c r="I41" s="10"/>
      <c r="J41" s="10"/>
      <c r="K41" s="10"/>
      <c r="L41" s="10"/>
      <c r="M41" s="6"/>
    </row>
    <row r="42" spans="1:24" x14ac:dyDescent="0.35">
      <c r="A42" s="2" t="s">
        <v>17</v>
      </c>
      <c r="B42" s="2">
        <v>2.15</v>
      </c>
      <c r="C42" s="2">
        <v>2</v>
      </c>
      <c r="D42" s="8"/>
      <c r="E42" s="8"/>
      <c r="F42" s="10"/>
      <c r="G42" s="10"/>
      <c r="H42" s="10"/>
      <c r="I42" s="10"/>
      <c r="J42" s="10"/>
      <c r="K42" s="10"/>
      <c r="L42" s="10"/>
      <c r="M42" s="6"/>
    </row>
    <row r="43" spans="1:24" x14ac:dyDescent="0.35">
      <c r="A43" s="2" t="s">
        <v>18</v>
      </c>
      <c r="B43" s="2">
        <v>3.95</v>
      </c>
      <c r="C43" s="2">
        <v>4</v>
      </c>
      <c r="D43" s="9"/>
      <c r="E43" s="9"/>
      <c r="F43" s="10"/>
      <c r="G43" s="10"/>
      <c r="H43" s="10"/>
      <c r="I43" s="10"/>
      <c r="J43" s="10"/>
      <c r="K43" s="10"/>
      <c r="L43" s="10"/>
      <c r="M43" s="6"/>
    </row>
  </sheetData>
  <mergeCells count="49">
    <mergeCell ref="E36:E43"/>
    <mergeCell ref="K3:K10"/>
    <mergeCell ref="F25:F32"/>
    <mergeCell ref="G25:G32"/>
    <mergeCell ref="H25:H32"/>
    <mergeCell ref="I25:I32"/>
    <mergeCell ref="J25:J32"/>
    <mergeCell ref="F36:F43"/>
    <mergeCell ref="G36:G43"/>
    <mergeCell ref="H36:H43"/>
    <mergeCell ref="I36:I43"/>
    <mergeCell ref="J36:J43"/>
    <mergeCell ref="K36:K43"/>
    <mergeCell ref="K14:K21"/>
    <mergeCell ref="L14:L21"/>
    <mergeCell ref="E3:E10"/>
    <mergeCell ref="E14:E21"/>
    <mergeCell ref="E25:E32"/>
    <mergeCell ref="G14:G21"/>
    <mergeCell ref="H14:H21"/>
    <mergeCell ref="I14:I21"/>
    <mergeCell ref="J14:J21"/>
    <mergeCell ref="F3:F10"/>
    <mergeCell ref="G3:G10"/>
    <mergeCell ref="H3:H10"/>
    <mergeCell ref="I3:I10"/>
    <mergeCell ref="J3:J10"/>
    <mergeCell ref="E1:F1"/>
    <mergeCell ref="D3:D6"/>
    <mergeCell ref="D7:D10"/>
    <mergeCell ref="D14:D17"/>
    <mergeCell ref="D18:D21"/>
    <mergeCell ref="F14:F21"/>
    <mergeCell ref="D25:D28"/>
    <mergeCell ref="D29:D32"/>
    <mergeCell ref="D36:D39"/>
    <mergeCell ref="D40:D43"/>
    <mergeCell ref="M3:M6"/>
    <mergeCell ref="M7:M10"/>
    <mergeCell ref="M14:M17"/>
    <mergeCell ref="M18:M21"/>
    <mergeCell ref="M25:M28"/>
    <mergeCell ref="M29:M32"/>
    <mergeCell ref="M36:M39"/>
    <mergeCell ref="M40:M43"/>
    <mergeCell ref="L36:L43"/>
    <mergeCell ref="K25:K32"/>
    <mergeCell ref="L25:L32"/>
    <mergeCell ref="L3:L1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0600-941F-408D-827F-7D3177C5FB99}">
  <dimension ref="A2:X43"/>
  <sheetViews>
    <sheetView zoomScale="60" zoomScaleNormal="60" workbookViewId="0">
      <selection activeCell="A35" sqref="A35:M43"/>
    </sheetView>
  </sheetViews>
  <sheetFormatPr defaultRowHeight="14.5" x14ac:dyDescent="0.35"/>
  <cols>
    <col min="1" max="1" width="16.453125" bestFit="1" customWidth="1"/>
    <col min="2" max="2" width="25.7265625" bestFit="1" customWidth="1"/>
    <col min="3" max="3" width="25.54296875" bestFit="1" customWidth="1"/>
    <col min="4" max="5" width="17.7265625" customWidth="1"/>
    <col min="7" max="7" width="14.54296875" customWidth="1"/>
    <col min="11" max="11" width="13.1796875" customWidth="1"/>
  </cols>
  <sheetData>
    <row r="2" spans="1:24" ht="39" x14ac:dyDescent="0.35">
      <c r="A2" s="2" t="s">
        <v>1</v>
      </c>
      <c r="B2" s="2" t="s">
        <v>6</v>
      </c>
      <c r="C2" s="2" t="s">
        <v>7</v>
      </c>
      <c r="D2" s="2" t="s">
        <v>0</v>
      </c>
      <c r="E2" s="2" t="s">
        <v>28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19</v>
      </c>
    </row>
    <row r="3" spans="1:24" x14ac:dyDescent="0.35">
      <c r="A3" s="2" t="s">
        <v>2</v>
      </c>
      <c r="B3" s="2">
        <v>7.5</v>
      </c>
      <c r="C3" s="2">
        <v>8.3000000000000007</v>
      </c>
      <c r="D3" s="7">
        <v>2021</v>
      </c>
      <c r="E3" s="7" cm="1">
        <f t="array" ref="E3">SQRT(SUM((B3:B10-C3:C10)^2)/COUNT(B3:B10))</f>
        <v>0.53829592233268853</v>
      </c>
      <c r="F3" s="10">
        <f>PEARSON(B3:B10,C3:C10)</f>
        <v>0.97356884826898182</v>
      </c>
      <c r="G3" s="10">
        <f>COUNT(B3:B10)</f>
        <v>8</v>
      </c>
      <c r="H3" s="10">
        <f>(ABS(F3)*SQRT(G3-2))/(SQRT(1-F3^2))</f>
        <v>10.441385002606228</v>
      </c>
      <c r="I3" s="10">
        <f>(G3-2)</f>
        <v>6</v>
      </c>
      <c r="J3" s="10">
        <f>TDIST(H3,I3,2)</f>
        <v>4.5252132123887636E-5</v>
      </c>
      <c r="K3" s="10">
        <v>0.05</v>
      </c>
      <c r="L3" s="10">
        <f>_xlfn.T.INV.2T(K3,I3)</f>
        <v>2.4469118511449697</v>
      </c>
      <c r="M3" s="6" t="s">
        <v>29</v>
      </c>
      <c r="W3">
        <v>0</v>
      </c>
      <c r="X3">
        <v>0</v>
      </c>
    </row>
    <row r="4" spans="1:24" x14ac:dyDescent="0.35">
      <c r="A4" s="2" t="s">
        <v>3</v>
      </c>
      <c r="B4" s="2">
        <v>4.9000000000000004</v>
      </c>
      <c r="C4" s="2">
        <v>5.6</v>
      </c>
      <c r="D4" s="8"/>
      <c r="E4" s="8"/>
      <c r="F4" s="10"/>
      <c r="G4" s="10"/>
      <c r="H4" s="10"/>
      <c r="I4" s="10"/>
      <c r="J4" s="10"/>
      <c r="K4" s="10"/>
      <c r="L4" s="10"/>
      <c r="M4" s="6"/>
      <c r="W4">
        <f>MAX(B3:B10)</f>
        <v>10.7</v>
      </c>
      <c r="X4">
        <f>MAX(C3:C10)</f>
        <v>10.29</v>
      </c>
    </row>
    <row r="5" spans="1:24" x14ac:dyDescent="0.35">
      <c r="A5" s="2" t="s">
        <v>4</v>
      </c>
      <c r="B5" s="2">
        <v>9.3000000000000007</v>
      </c>
      <c r="C5" s="2">
        <v>9.15</v>
      </c>
      <c r="D5" s="8"/>
      <c r="E5" s="8"/>
      <c r="F5" s="10"/>
      <c r="G5" s="10"/>
      <c r="H5" s="10"/>
      <c r="I5" s="10"/>
      <c r="J5" s="10"/>
      <c r="K5" s="10"/>
      <c r="L5" s="10"/>
      <c r="M5" s="6"/>
    </row>
    <row r="6" spans="1:24" x14ac:dyDescent="0.35">
      <c r="A6" s="2" t="s">
        <v>5</v>
      </c>
      <c r="B6" s="2">
        <v>7.7</v>
      </c>
      <c r="C6" s="2">
        <v>8.4</v>
      </c>
      <c r="D6" s="9"/>
      <c r="E6" s="8"/>
      <c r="F6" s="10"/>
      <c r="G6" s="10"/>
      <c r="H6" s="10"/>
      <c r="I6" s="10"/>
      <c r="J6" s="10"/>
      <c r="K6" s="10"/>
      <c r="L6" s="10"/>
      <c r="M6" s="6"/>
    </row>
    <row r="7" spans="1:24" x14ac:dyDescent="0.35">
      <c r="A7" s="2" t="s">
        <v>2</v>
      </c>
      <c r="B7" s="2">
        <v>8.3000000000000007</v>
      </c>
      <c r="C7" s="2">
        <v>8.75</v>
      </c>
      <c r="D7" s="7">
        <v>2022</v>
      </c>
      <c r="E7" s="8"/>
      <c r="F7" s="10"/>
      <c r="G7" s="10"/>
      <c r="H7" s="10"/>
      <c r="I7" s="10"/>
      <c r="J7" s="10"/>
      <c r="K7" s="10"/>
      <c r="L7" s="10"/>
      <c r="M7" s="6" t="s">
        <v>30</v>
      </c>
    </row>
    <row r="8" spans="1:24" x14ac:dyDescent="0.35">
      <c r="A8" s="2" t="s">
        <v>3</v>
      </c>
      <c r="B8" s="2">
        <v>5.3</v>
      </c>
      <c r="C8" s="2">
        <v>5.25</v>
      </c>
      <c r="D8" s="8"/>
      <c r="E8" s="8"/>
      <c r="F8" s="10"/>
      <c r="G8" s="10"/>
      <c r="H8" s="10"/>
      <c r="I8" s="10"/>
      <c r="J8" s="10"/>
      <c r="K8" s="10"/>
      <c r="L8" s="10"/>
      <c r="M8" s="6"/>
    </row>
    <row r="9" spans="1:24" x14ac:dyDescent="0.35">
      <c r="A9" s="2" t="s">
        <v>4</v>
      </c>
      <c r="B9" s="2">
        <v>10.7</v>
      </c>
      <c r="C9" s="2">
        <v>10.29</v>
      </c>
      <c r="D9" s="8"/>
      <c r="E9" s="8"/>
      <c r="F9" s="10"/>
      <c r="G9" s="10"/>
      <c r="H9" s="10"/>
      <c r="I9" s="10"/>
      <c r="J9" s="10"/>
      <c r="K9" s="10"/>
      <c r="L9" s="10"/>
      <c r="M9" s="6"/>
    </row>
    <row r="10" spans="1:24" x14ac:dyDescent="0.35">
      <c r="A10" s="2" t="s">
        <v>5</v>
      </c>
      <c r="B10" s="2">
        <v>8.8000000000000007</v>
      </c>
      <c r="C10" s="2">
        <v>9.35</v>
      </c>
      <c r="D10" s="9"/>
      <c r="E10" s="9"/>
      <c r="F10" s="10"/>
      <c r="G10" s="10"/>
      <c r="H10" s="10"/>
      <c r="I10" s="10"/>
      <c r="J10" s="10"/>
      <c r="K10" s="10"/>
      <c r="L10" s="10"/>
      <c r="M10" s="6"/>
    </row>
    <row r="13" spans="1:24" ht="39" x14ac:dyDescent="0.35">
      <c r="A13" s="2" t="s">
        <v>1</v>
      </c>
      <c r="B13" s="2" t="s">
        <v>20</v>
      </c>
      <c r="C13" s="2" t="s">
        <v>21</v>
      </c>
      <c r="D13" s="2" t="s">
        <v>0</v>
      </c>
      <c r="E13" s="2" t="s">
        <v>28</v>
      </c>
      <c r="F13" s="1" t="s">
        <v>8</v>
      </c>
      <c r="G13" s="1" t="s">
        <v>9</v>
      </c>
      <c r="H13" s="1" t="s">
        <v>10</v>
      </c>
      <c r="I13" s="1" t="s">
        <v>11</v>
      </c>
      <c r="J13" s="1" t="s">
        <v>12</v>
      </c>
      <c r="K13" s="1" t="s">
        <v>13</v>
      </c>
      <c r="L13" s="1" t="s">
        <v>14</v>
      </c>
      <c r="M13" s="1" t="s">
        <v>19</v>
      </c>
    </row>
    <row r="14" spans="1:24" x14ac:dyDescent="0.35">
      <c r="A14" s="2" t="s">
        <v>2</v>
      </c>
      <c r="B14" s="2">
        <v>10</v>
      </c>
      <c r="C14" s="2">
        <v>11.13</v>
      </c>
      <c r="D14" s="7">
        <v>2021</v>
      </c>
      <c r="E14" s="7" cm="1">
        <f t="array" ref="E14">SQRT(SUM((B14:B21-C14:C21)^2)/COUNT(B14:B21))</f>
        <v>0.91103649762235095</v>
      </c>
      <c r="F14" s="10">
        <f>PEARSON(B14:B21,C14:C21)</f>
        <v>0.97010244489080133</v>
      </c>
      <c r="G14" s="10">
        <f>COUNT(B14:B21)</f>
        <v>8</v>
      </c>
      <c r="H14" s="10">
        <f>(ABS(F14)*SQRT(G14-2))/(SQRT(1-F14^2))</f>
        <v>9.7910886281012601</v>
      </c>
      <c r="I14" s="10">
        <f>(G14-2)</f>
        <v>6</v>
      </c>
      <c r="J14" s="10">
        <f>TDIST(H14,I14,2)</f>
        <v>6.5321702705704518E-5</v>
      </c>
      <c r="K14" s="10">
        <v>0.05</v>
      </c>
      <c r="L14" s="10">
        <f>_xlfn.T.INV.2T(K14,I14)</f>
        <v>2.4469118511449697</v>
      </c>
      <c r="M14" s="6" t="s">
        <v>29</v>
      </c>
      <c r="W14">
        <v>0</v>
      </c>
      <c r="X14">
        <v>0</v>
      </c>
    </row>
    <row r="15" spans="1:24" x14ac:dyDescent="0.35">
      <c r="A15" s="2" t="s">
        <v>3</v>
      </c>
      <c r="B15" s="2">
        <v>4.9000000000000004</v>
      </c>
      <c r="C15" s="2">
        <v>6.29</v>
      </c>
      <c r="D15" s="8"/>
      <c r="E15" s="8"/>
      <c r="F15" s="10"/>
      <c r="G15" s="10"/>
      <c r="H15" s="10"/>
      <c r="I15" s="10"/>
      <c r="J15" s="10"/>
      <c r="K15" s="10"/>
      <c r="L15" s="10"/>
      <c r="M15" s="6"/>
      <c r="W15">
        <f>MAX(B14:B21)</f>
        <v>13</v>
      </c>
      <c r="X15">
        <f>MAX(C14:C21)</f>
        <v>14.1</v>
      </c>
    </row>
    <row r="16" spans="1:24" x14ac:dyDescent="0.35">
      <c r="A16" s="2" t="s">
        <v>4</v>
      </c>
      <c r="B16" s="2">
        <v>12.25</v>
      </c>
      <c r="C16" s="2">
        <v>12.13</v>
      </c>
      <c r="D16" s="8"/>
      <c r="E16" s="8"/>
      <c r="F16" s="10"/>
      <c r="G16" s="10"/>
      <c r="H16" s="10"/>
      <c r="I16" s="10"/>
      <c r="J16" s="10"/>
      <c r="K16" s="10"/>
      <c r="L16" s="10"/>
      <c r="M16" s="6"/>
    </row>
    <row r="17" spans="1:24" x14ac:dyDescent="0.35">
      <c r="A17" s="2" t="s">
        <v>5</v>
      </c>
      <c r="B17" s="2">
        <v>8.5</v>
      </c>
      <c r="C17" s="2">
        <v>8.85</v>
      </c>
      <c r="D17" s="9"/>
      <c r="E17" s="8"/>
      <c r="F17" s="10"/>
      <c r="G17" s="10"/>
      <c r="H17" s="10"/>
      <c r="I17" s="10"/>
      <c r="J17" s="10"/>
      <c r="K17" s="10"/>
      <c r="L17" s="10"/>
      <c r="M17" s="6"/>
    </row>
    <row r="18" spans="1:24" x14ac:dyDescent="0.35">
      <c r="A18" s="2" t="s">
        <v>2</v>
      </c>
      <c r="B18" s="2">
        <v>13</v>
      </c>
      <c r="C18" s="2">
        <v>14.1</v>
      </c>
      <c r="D18" s="7">
        <v>2022</v>
      </c>
      <c r="E18" s="8"/>
      <c r="F18" s="10"/>
      <c r="G18" s="10"/>
      <c r="H18" s="10"/>
      <c r="I18" s="10"/>
      <c r="J18" s="10"/>
      <c r="K18" s="10"/>
      <c r="L18" s="10"/>
      <c r="M18" s="6" t="s">
        <v>30</v>
      </c>
    </row>
    <row r="19" spans="1:24" x14ac:dyDescent="0.35">
      <c r="A19" s="2" t="s">
        <v>3</v>
      </c>
      <c r="B19" s="2">
        <v>5.5</v>
      </c>
      <c r="C19" s="2">
        <v>6.36</v>
      </c>
      <c r="D19" s="8"/>
      <c r="E19" s="8"/>
      <c r="F19" s="10"/>
      <c r="G19" s="10"/>
      <c r="H19" s="10"/>
      <c r="I19" s="10"/>
      <c r="J19" s="10"/>
      <c r="K19" s="10"/>
      <c r="L19" s="10"/>
      <c r="M19" s="6"/>
    </row>
    <row r="20" spans="1:24" x14ac:dyDescent="0.35">
      <c r="A20" s="2" t="s">
        <v>4</v>
      </c>
      <c r="B20" s="2">
        <v>13</v>
      </c>
      <c r="C20" s="2">
        <v>11.88</v>
      </c>
      <c r="D20" s="8"/>
      <c r="E20" s="8"/>
      <c r="F20" s="10"/>
      <c r="G20" s="10"/>
      <c r="H20" s="10"/>
      <c r="I20" s="10"/>
      <c r="J20" s="10"/>
      <c r="K20" s="10"/>
      <c r="L20" s="10"/>
      <c r="M20" s="6"/>
    </row>
    <row r="21" spans="1:24" x14ac:dyDescent="0.35">
      <c r="A21" s="2" t="s">
        <v>5</v>
      </c>
      <c r="B21" s="2">
        <v>10</v>
      </c>
      <c r="C21" s="2">
        <v>10.3</v>
      </c>
      <c r="D21" s="9"/>
      <c r="E21" s="9"/>
      <c r="F21" s="10"/>
      <c r="G21" s="10"/>
      <c r="H21" s="10"/>
      <c r="I21" s="10"/>
      <c r="J21" s="10"/>
      <c r="K21" s="10"/>
      <c r="L21" s="10"/>
      <c r="M21" s="6"/>
    </row>
    <row r="24" spans="1:24" ht="39" x14ac:dyDescent="0.35">
      <c r="A24" s="2" t="s">
        <v>1</v>
      </c>
      <c r="B24" s="2" t="s">
        <v>22</v>
      </c>
      <c r="C24" s="2" t="s">
        <v>23</v>
      </c>
      <c r="D24" s="2" t="s">
        <v>0</v>
      </c>
      <c r="E24" s="2" t="s">
        <v>28</v>
      </c>
      <c r="F24" s="1" t="s">
        <v>8</v>
      </c>
      <c r="G24" s="1" t="s">
        <v>9</v>
      </c>
      <c r="H24" s="1" t="s">
        <v>10</v>
      </c>
      <c r="I24" s="1" t="s">
        <v>11</v>
      </c>
      <c r="J24" s="1" t="s">
        <v>12</v>
      </c>
      <c r="K24" s="1" t="s">
        <v>13</v>
      </c>
      <c r="L24" s="1" t="s">
        <v>14</v>
      </c>
      <c r="M24" s="1" t="s">
        <v>19</v>
      </c>
    </row>
    <row r="25" spans="1:24" x14ac:dyDescent="0.35">
      <c r="A25" s="2" t="s">
        <v>2</v>
      </c>
      <c r="B25" s="2">
        <v>5.4</v>
      </c>
      <c r="C25" s="2">
        <v>5.6</v>
      </c>
      <c r="D25" s="7">
        <v>2021</v>
      </c>
      <c r="E25" s="7" cm="1">
        <f t="array" ref="E25">SQRT(SUM((B25:B32-C25:C32)^2)/COUNT(B25:B32))</f>
        <v>0.52050456290026881</v>
      </c>
      <c r="F25" s="10">
        <f>PEARSON(B25:B32,C25:C32)</f>
        <v>0.94429262626370236</v>
      </c>
      <c r="G25" s="10">
        <f>COUNT(B25:B32)</f>
        <v>8</v>
      </c>
      <c r="H25" s="10">
        <f>(ABS(F25)*SQRT(G25-2))/(SQRT(1-F25^2))</f>
        <v>7.0282154566978576</v>
      </c>
      <c r="I25" s="10">
        <f>(G25-2)</f>
        <v>6</v>
      </c>
      <c r="J25" s="10">
        <f>TDIST(H25,I25,2)</f>
        <v>4.1433725025226094E-4</v>
      </c>
      <c r="K25" s="10">
        <v>0.05</v>
      </c>
      <c r="L25" s="10">
        <f>_xlfn.T.INV.2T(K25,I25)</f>
        <v>2.4469118511449697</v>
      </c>
      <c r="M25" s="6" t="s">
        <v>29</v>
      </c>
      <c r="W25">
        <v>0</v>
      </c>
      <c r="X25">
        <v>0</v>
      </c>
    </row>
    <row r="26" spans="1:24" x14ac:dyDescent="0.35">
      <c r="A26" s="2" t="s">
        <v>3</v>
      </c>
      <c r="B26" s="2">
        <v>3</v>
      </c>
      <c r="C26" s="2">
        <v>2.2999999999999998</v>
      </c>
      <c r="D26" s="8"/>
      <c r="E26" s="8"/>
      <c r="F26" s="10"/>
      <c r="G26" s="10"/>
      <c r="H26" s="10"/>
      <c r="I26" s="10"/>
      <c r="J26" s="10"/>
      <c r="K26" s="10"/>
      <c r="L26" s="10"/>
      <c r="M26" s="6"/>
      <c r="W26">
        <f>MAX(B25:B32)</f>
        <v>8</v>
      </c>
      <c r="X26">
        <f>MAX(C25:C32)</f>
        <v>8</v>
      </c>
    </row>
    <row r="27" spans="1:24" x14ac:dyDescent="0.35">
      <c r="A27" s="2" t="s">
        <v>4</v>
      </c>
      <c r="B27" s="2">
        <v>6</v>
      </c>
      <c r="C27" s="2">
        <v>6.82</v>
      </c>
      <c r="D27" s="8"/>
      <c r="E27" s="8"/>
      <c r="F27" s="10"/>
      <c r="G27" s="10"/>
      <c r="H27" s="10"/>
      <c r="I27" s="10"/>
      <c r="J27" s="10"/>
      <c r="K27" s="10"/>
      <c r="L27" s="10"/>
      <c r="M27" s="6"/>
    </row>
    <row r="28" spans="1:24" x14ac:dyDescent="0.35">
      <c r="A28" s="2" t="s">
        <v>5</v>
      </c>
      <c r="B28" s="2">
        <v>5.25</v>
      </c>
      <c r="C28" s="2">
        <v>5</v>
      </c>
      <c r="D28" s="9"/>
      <c r="E28" s="8"/>
      <c r="F28" s="10"/>
      <c r="G28" s="10"/>
      <c r="H28" s="10"/>
      <c r="I28" s="10"/>
      <c r="J28" s="10"/>
      <c r="K28" s="10"/>
      <c r="L28" s="10"/>
      <c r="M28" s="6"/>
    </row>
    <row r="29" spans="1:24" x14ac:dyDescent="0.35">
      <c r="A29" s="2" t="s">
        <v>2</v>
      </c>
      <c r="B29" s="2">
        <v>5.8</v>
      </c>
      <c r="C29" s="2">
        <v>5.75</v>
      </c>
      <c r="D29" s="7">
        <v>2022</v>
      </c>
      <c r="E29" s="8"/>
      <c r="F29" s="10"/>
      <c r="G29" s="10"/>
      <c r="H29" s="10"/>
      <c r="I29" s="10"/>
      <c r="J29" s="10"/>
      <c r="K29" s="10"/>
      <c r="L29" s="10"/>
      <c r="M29" s="6" t="s">
        <v>30</v>
      </c>
    </row>
    <row r="30" spans="1:24" x14ac:dyDescent="0.35">
      <c r="A30" s="2" t="s">
        <v>3</v>
      </c>
      <c r="B30" s="2">
        <v>4.5</v>
      </c>
      <c r="C30" s="2">
        <v>4.8</v>
      </c>
      <c r="D30" s="8"/>
      <c r="E30" s="8"/>
      <c r="F30" s="10"/>
      <c r="G30" s="10"/>
      <c r="H30" s="10"/>
      <c r="I30" s="10"/>
      <c r="J30" s="10"/>
      <c r="K30" s="10"/>
      <c r="L30" s="10"/>
      <c r="M30" s="6"/>
    </row>
    <row r="31" spans="1:24" x14ac:dyDescent="0.35">
      <c r="A31" s="2" t="s">
        <v>4</v>
      </c>
      <c r="B31" s="2">
        <v>8</v>
      </c>
      <c r="C31" s="2">
        <v>8</v>
      </c>
      <c r="D31" s="8"/>
      <c r="E31" s="8"/>
      <c r="F31" s="10"/>
      <c r="G31" s="10"/>
      <c r="H31" s="10"/>
      <c r="I31" s="10"/>
      <c r="J31" s="10"/>
      <c r="K31" s="10"/>
      <c r="L31" s="10"/>
      <c r="M31" s="6"/>
    </row>
    <row r="32" spans="1:24" x14ac:dyDescent="0.35">
      <c r="A32" s="2" t="s">
        <v>5</v>
      </c>
      <c r="B32" s="2">
        <v>6.6</v>
      </c>
      <c r="C32" s="2">
        <v>5.7</v>
      </c>
      <c r="D32" s="9"/>
      <c r="E32" s="9"/>
      <c r="F32" s="10"/>
      <c r="G32" s="10"/>
      <c r="H32" s="10"/>
      <c r="I32" s="10"/>
      <c r="J32" s="10"/>
      <c r="K32" s="10"/>
      <c r="L32" s="10"/>
      <c r="M32" s="6"/>
    </row>
    <row r="35" spans="1:24" ht="39" x14ac:dyDescent="0.35">
      <c r="A35" s="2" t="s">
        <v>1</v>
      </c>
      <c r="B35" s="2" t="s">
        <v>24</v>
      </c>
      <c r="C35" s="2" t="s">
        <v>25</v>
      </c>
      <c r="D35" s="2" t="s">
        <v>0</v>
      </c>
      <c r="E35" s="2" t="s">
        <v>28</v>
      </c>
      <c r="F35" s="1" t="s">
        <v>8</v>
      </c>
      <c r="G35" s="1" t="s">
        <v>9</v>
      </c>
      <c r="H35" s="1" t="s">
        <v>10</v>
      </c>
      <c r="I35" s="1" t="s">
        <v>11</v>
      </c>
      <c r="J35" s="1" t="s">
        <v>12</v>
      </c>
      <c r="K35" s="1" t="s">
        <v>13</v>
      </c>
      <c r="L35" s="1" t="s">
        <v>14</v>
      </c>
      <c r="M35" s="1" t="s">
        <v>19</v>
      </c>
    </row>
    <row r="36" spans="1:24" x14ac:dyDescent="0.35">
      <c r="A36" s="2" t="s">
        <v>2</v>
      </c>
      <c r="B36" s="2">
        <v>4.5</v>
      </c>
      <c r="C36" s="2">
        <v>4.74</v>
      </c>
      <c r="D36" s="7">
        <v>2021</v>
      </c>
      <c r="E36" s="7" cm="1">
        <f t="array" ref="E36">SQRT(SUM((B36:B43-C36:C43)^2)/COUNT(B36:B43))</f>
        <v>0.82025148582614582</v>
      </c>
      <c r="F36" s="10">
        <f>PEARSON(B36:B43,C36:C43)</f>
        <v>0.98132059168894314</v>
      </c>
      <c r="G36" s="10">
        <f>COUNT(B36:B43)</f>
        <v>8</v>
      </c>
      <c r="H36" s="10">
        <f>(ABS(F36)*SQRT(G36-2))/(SQRT(1-F36^2))</f>
        <v>12.494750918744906</v>
      </c>
      <c r="I36" s="10">
        <f>(G36-2)</f>
        <v>6</v>
      </c>
      <c r="J36" s="10">
        <f>TDIST(H36,I36,2)</f>
        <v>1.6066641865369308E-5</v>
      </c>
      <c r="K36" s="10">
        <v>0.05</v>
      </c>
      <c r="L36" s="10">
        <f>_xlfn.T.INV.2T(K36,I36)</f>
        <v>2.4469118511449697</v>
      </c>
      <c r="M36" s="6" t="s">
        <v>29</v>
      </c>
      <c r="W36">
        <v>0</v>
      </c>
      <c r="X36">
        <v>0</v>
      </c>
    </row>
    <row r="37" spans="1:24" x14ac:dyDescent="0.35">
      <c r="A37" s="2" t="s">
        <v>3</v>
      </c>
      <c r="B37" s="2">
        <v>2</v>
      </c>
      <c r="C37" s="2">
        <v>2.9</v>
      </c>
      <c r="D37" s="8"/>
      <c r="E37" s="8"/>
      <c r="F37" s="10"/>
      <c r="G37" s="10"/>
      <c r="H37" s="10"/>
      <c r="I37" s="10"/>
      <c r="J37" s="10"/>
      <c r="K37" s="10"/>
      <c r="L37" s="10"/>
      <c r="M37" s="6"/>
      <c r="W37">
        <f>MAX(B36:B43)</f>
        <v>11.25</v>
      </c>
      <c r="X37">
        <f>MAX(C36:C43)</f>
        <v>13</v>
      </c>
    </row>
    <row r="38" spans="1:24" x14ac:dyDescent="0.35">
      <c r="A38" s="2" t="s">
        <v>4</v>
      </c>
      <c r="B38" s="2">
        <v>8.35</v>
      </c>
      <c r="C38" s="2">
        <v>8</v>
      </c>
      <c r="D38" s="8"/>
      <c r="E38" s="8"/>
      <c r="F38" s="10"/>
      <c r="G38" s="10"/>
      <c r="H38" s="10"/>
      <c r="I38" s="10"/>
      <c r="J38" s="10"/>
      <c r="K38" s="10"/>
      <c r="L38" s="10"/>
      <c r="M38" s="6"/>
    </row>
    <row r="39" spans="1:24" x14ac:dyDescent="0.35">
      <c r="A39" s="2" t="s">
        <v>5</v>
      </c>
      <c r="B39" s="2">
        <v>4</v>
      </c>
      <c r="C39" s="2">
        <v>4.25</v>
      </c>
      <c r="D39" s="9"/>
      <c r="E39" s="8"/>
      <c r="F39" s="10"/>
      <c r="G39" s="10"/>
      <c r="H39" s="10"/>
      <c r="I39" s="10"/>
      <c r="J39" s="10"/>
      <c r="K39" s="10"/>
      <c r="L39" s="10"/>
      <c r="M39" s="6"/>
    </row>
    <row r="40" spans="1:24" x14ac:dyDescent="0.35">
      <c r="A40" s="2" t="s">
        <v>2</v>
      </c>
      <c r="B40" s="2">
        <v>4.95</v>
      </c>
      <c r="C40" s="2">
        <v>5.78</v>
      </c>
      <c r="D40" s="7">
        <v>2022</v>
      </c>
      <c r="E40" s="8"/>
      <c r="F40" s="10"/>
      <c r="G40" s="10"/>
      <c r="H40" s="10"/>
      <c r="I40" s="10"/>
      <c r="J40" s="10"/>
      <c r="K40" s="10"/>
      <c r="L40" s="10"/>
      <c r="M40" s="6" t="s">
        <v>30</v>
      </c>
    </row>
    <row r="41" spans="1:24" x14ac:dyDescent="0.35">
      <c r="A41" s="2" t="s">
        <v>3</v>
      </c>
      <c r="B41" s="2">
        <v>2.75</v>
      </c>
      <c r="C41" s="2">
        <v>2.27</v>
      </c>
      <c r="D41" s="8"/>
      <c r="E41" s="8"/>
      <c r="F41" s="10"/>
      <c r="G41" s="10"/>
      <c r="H41" s="10"/>
      <c r="I41" s="10"/>
      <c r="J41" s="10"/>
      <c r="K41" s="10"/>
      <c r="L41" s="10"/>
      <c r="M41" s="6"/>
    </row>
    <row r="42" spans="1:24" x14ac:dyDescent="0.35">
      <c r="A42" s="2" t="s">
        <v>4</v>
      </c>
      <c r="B42" s="2">
        <v>11.25</v>
      </c>
      <c r="C42" s="2">
        <v>13</v>
      </c>
      <c r="D42" s="8"/>
      <c r="E42" s="8"/>
      <c r="F42" s="10"/>
      <c r="G42" s="10"/>
      <c r="H42" s="10"/>
      <c r="I42" s="10"/>
      <c r="J42" s="10"/>
      <c r="K42" s="10"/>
      <c r="L42" s="10"/>
      <c r="M42" s="6"/>
    </row>
    <row r="43" spans="1:24" x14ac:dyDescent="0.35">
      <c r="A43" s="2" t="s">
        <v>5</v>
      </c>
      <c r="B43" s="2">
        <v>4.3</v>
      </c>
      <c r="C43" s="2">
        <v>4.8899999999999997</v>
      </c>
      <c r="D43" s="9"/>
      <c r="E43" s="9"/>
      <c r="F43" s="10"/>
      <c r="G43" s="10"/>
      <c r="H43" s="10"/>
      <c r="I43" s="10"/>
      <c r="J43" s="10"/>
      <c r="K43" s="10"/>
      <c r="L43" s="10"/>
      <c r="M43" s="6"/>
    </row>
  </sheetData>
  <mergeCells count="48">
    <mergeCell ref="E3:E10"/>
    <mergeCell ref="E14:E21"/>
    <mergeCell ref="E25:E32"/>
    <mergeCell ref="E36:E43"/>
    <mergeCell ref="K3:K10"/>
    <mergeCell ref="F25:F32"/>
    <mergeCell ref="G25:G32"/>
    <mergeCell ref="H25:H32"/>
    <mergeCell ref="I25:I32"/>
    <mergeCell ref="J25:J32"/>
    <mergeCell ref="M36:M39"/>
    <mergeCell ref="M40:M43"/>
    <mergeCell ref="L3:L10"/>
    <mergeCell ref="F14:F21"/>
    <mergeCell ref="G14:G21"/>
    <mergeCell ref="H14:H21"/>
    <mergeCell ref="I14:I21"/>
    <mergeCell ref="J14:J21"/>
    <mergeCell ref="F3:F10"/>
    <mergeCell ref="G3:G10"/>
    <mergeCell ref="H3:H10"/>
    <mergeCell ref="I3:I10"/>
    <mergeCell ref="J3:J10"/>
    <mergeCell ref="K14:K21"/>
    <mergeCell ref="L14:L21"/>
    <mergeCell ref="M3:M6"/>
    <mergeCell ref="D29:D32"/>
    <mergeCell ref="K25:K32"/>
    <mergeCell ref="L25:L32"/>
    <mergeCell ref="F36:F43"/>
    <mergeCell ref="G36:G43"/>
    <mergeCell ref="H36:H43"/>
    <mergeCell ref="I36:I43"/>
    <mergeCell ref="J36:J43"/>
    <mergeCell ref="D36:D39"/>
    <mergeCell ref="D40:D43"/>
    <mergeCell ref="K36:K43"/>
    <mergeCell ref="L36:L43"/>
    <mergeCell ref="D3:D6"/>
    <mergeCell ref="D7:D10"/>
    <mergeCell ref="D14:D17"/>
    <mergeCell ref="D18:D21"/>
    <mergeCell ref="D25:D28"/>
    <mergeCell ref="M7:M10"/>
    <mergeCell ref="M14:M17"/>
    <mergeCell ref="M18:M21"/>
    <mergeCell ref="M25:M28"/>
    <mergeCell ref="M29:M3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0CC9-E4BF-441B-88AD-D9C6053D34F3}">
  <dimension ref="A2:X43"/>
  <sheetViews>
    <sheetView tabSelected="1" zoomScale="60" zoomScaleNormal="60" workbookViewId="0">
      <selection activeCell="D3" sqref="D3:D6"/>
    </sheetView>
  </sheetViews>
  <sheetFormatPr defaultRowHeight="14.5" x14ac:dyDescent="0.35"/>
  <cols>
    <col min="1" max="1" width="16.453125" bestFit="1" customWidth="1"/>
    <col min="2" max="2" width="25.7265625" bestFit="1" customWidth="1"/>
    <col min="3" max="3" width="25.54296875" bestFit="1" customWidth="1"/>
    <col min="4" max="5" width="17.7265625" customWidth="1"/>
    <col min="7" max="7" width="14.54296875" customWidth="1"/>
    <col min="11" max="11" width="13.1796875" customWidth="1"/>
  </cols>
  <sheetData>
    <row r="2" spans="1:24" ht="39" x14ac:dyDescent="0.35">
      <c r="A2" s="2" t="s">
        <v>1</v>
      </c>
      <c r="B2" s="2" t="s">
        <v>6</v>
      </c>
      <c r="C2" s="2" t="s">
        <v>7</v>
      </c>
      <c r="D2" s="2" t="s">
        <v>0</v>
      </c>
      <c r="E2" s="2" t="s">
        <v>28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19</v>
      </c>
    </row>
    <row r="3" spans="1:24" x14ac:dyDescent="0.35">
      <c r="A3" s="2" t="s">
        <v>15</v>
      </c>
      <c r="B3" s="2">
        <v>3.2</v>
      </c>
      <c r="C3" s="2">
        <v>2.9</v>
      </c>
      <c r="D3" s="7">
        <v>2021</v>
      </c>
      <c r="E3" s="7" cm="1">
        <f t="array" ref="E3">SQRT(SUM((B3:B10-C3:C10)^2)/COUNT(B3:B10))</f>
        <v>0.45192643206610533</v>
      </c>
      <c r="F3" s="10">
        <f>PEARSON(B3:B10,C3:C10)</f>
        <v>0.91316897395452812</v>
      </c>
      <c r="G3" s="10">
        <f>COUNT(B3:B10)</f>
        <v>8</v>
      </c>
      <c r="H3" s="10">
        <f>(ABS(F3)*SQRT(G3-2))/(SQRT(1-F3^2))</f>
        <v>5.4879815351397729</v>
      </c>
      <c r="I3" s="10">
        <f>(G3-2)</f>
        <v>6</v>
      </c>
      <c r="J3" s="10">
        <f>TDIST(H3,I3,2)</f>
        <v>1.5319486811466493E-3</v>
      </c>
      <c r="K3" s="10">
        <v>0.05</v>
      </c>
      <c r="L3" s="10">
        <f>_xlfn.T.INV.2T(K3,I3)</f>
        <v>2.4469118511449697</v>
      </c>
      <c r="M3" s="6" t="s">
        <v>29</v>
      </c>
      <c r="W3">
        <v>0</v>
      </c>
      <c r="X3">
        <v>0</v>
      </c>
    </row>
    <row r="4" spans="1:24" x14ac:dyDescent="0.35">
      <c r="A4" s="2" t="s">
        <v>16</v>
      </c>
      <c r="B4" s="2">
        <v>4</v>
      </c>
      <c r="C4" s="2">
        <v>3.58</v>
      </c>
      <c r="D4" s="8"/>
      <c r="E4" s="8"/>
      <c r="F4" s="10"/>
      <c r="G4" s="10"/>
      <c r="H4" s="10"/>
      <c r="I4" s="10"/>
      <c r="J4" s="10"/>
      <c r="K4" s="10"/>
      <c r="L4" s="10"/>
      <c r="M4" s="6"/>
      <c r="W4">
        <f>MAX(B3:B10)</f>
        <v>5.3</v>
      </c>
      <c r="X4">
        <f>MAX(C3:C10)</f>
        <v>5.2</v>
      </c>
    </row>
    <row r="5" spans="1:24" x14ac:dyDescent="0.35">
      <c r="A5" s="2" t="s">
        <v>17</v>
      </c>
      <c r="B5" s="2">
        <v>3.75</v>
      </c>
      <c r="C5" s="2">
        <v>4.3600000000000003</v>
      </c>
      <c r="D5" s="8"/>
      <c r="E5" s="8"/>
      <c r="F5" s="10"/>
      <c r="G5" s="10"/>
      <c r="H5" s="10"/>
      <c r="I5" s="10"/>
      <c r="J5" s="10"/>
      <c r="K5" s="10"/>
      <c r="L5" s="10"/>
      <c r="M5" s="6"/>
    </row>
    <row r="6" spans="1:24" x14ac:dyDescent="0.35">
      <c r="A6" s="2" t="s">
        <v>18</v>
      </c>
      <c r="B6" s="2">
        <v>4.8</v>
      </c>
      <c r="C6" s="2">
        <v>5.2</v>
      </c>
      <c r="D6" s="9"/>
      <c r="E6" s="8"/>
      <c r="F6" s="10"/>
      <c r="G6" s="10"/>
      <c r="H6" s="10"/>
      <c r="I6" s="10"/>
      <c r="J6" s="10"/>
      <c r="K6" s="10"/>
      <c r="L6" s="10"/>
      <c r="M6" s="6"/>
    </row>
    <row r="7" spans="1:24" x14ac:dyDescent="0.35">
      <c r="A7" s="2" t="s">
        <v>15</v>
      </c>
      <c r="B7" s="2">
        <v>3.6</v>
      </c>
      <c r="C7" s="2">
        <v>3.3</v>
      </c>
      <c r="D7" s="7">
        <v>2022</v>
      </c>
      <c r="E7" s="8"/>
      <c r="F7" s="10"/>
      <c r="G7" s="10"/>
      <c r="H7" s="10"/>
      <c r="I7" s="10"/>
      <c r="J7" s="10"/>
      <c r="K7" s="10"/>
      <c r="L7" s="10"/>
      <c r="M7" s="6" t="s">
        <v>30</v>
      </c>
    </row>
    <row r="8" spans="1:24" x14ac:dyDescent="0.35">
      <c r="A8" s="2" t="s">
        <v>16</v>
      </c>
      <c r="B8" s="2">
        <v>1.5</v>
      </c>
      <c r="C8" s="2">
        <v>1.8</v>
      </c>
      <c r="D8" s="8"/>
      <c r="E8" s="8"/>
      <c r="F8" s="10"/>
      <c r="G8" s="10"/>
      <c r="H8" s="10"/>
      <c r="I8" s="10"/>
      <c r="J8" s="10"/>
      <c r="K8" s="10"/>
      <c r="L8" s="10"/>
      <c r="M8" s="6"/>
    </row>
    <row r="9" spans="1:24" x14ac:dyDescent="0.35">
      <c r="A9" s="2" t="s">
        <v>17</v>
      </c>
      <c r="B9" s="2">
        <v>4.2</v>
      </c>
      <c r="C9" s="2">
        <v>3.47</v>
      </c>
      <c r="D9" s="8"/>
      <c r="E9" s="8"/>
      <c r="F9" s="10"/>
      <c r="G9" s="10"/>
      <c r="H9" s="10"/>
      <c r="I9" s="10"/>
      <c r="J9" s="10"/>
      <c r="K9" s="10"/>
      <c r="L9" s="10"/>
      <c r="M9" s="6"/>
    </row>
    <row r="10" spans="1:24" x14ac:dyDescent="0.35">
      <c r="A10" s="2" t="s">
        <v>18</v>
      </c>
      <c r="B10" s="2">
        <v>5.3</v>
      </c>
      <c r="C10" s="2">
        <v>4.95</v>
      </c>
      <c r="D10" s="9"/>
      <c r="E10" s="9"/>
      <c r="F10" s="10"/>
      <c r="G10" s="10"/>
      <c r="H10" s="10"/>
      <c r="I10" s="10"/>
      <c r="J10" s="10"/>
      <c r="K10" s="10"/>
      <c r="L10" s="10"/>
      <c r="M10" s="6"/>
    </row>
    <row r="13" spans="1:24" ht="39" x14ac:dyDescent="0.35">
      <c r="A13" s="2" t="s">
        <v>1</v>
      </c>
      <c r="B13" s="2" t="s">
        <v>20</v>
      </c>
      <c r="C13" s="2" t="s">
        <v>21</v>
      </c>
      <c r="D13" s="2" t="s">
        <v>0</v>
      </c>
      <c r="E13" s="2" t="s">
        <v>28</v>
      </c>
      <c r="F13" s="1" t="s">
        <v>8</v>
      </c>
      <c r="G13" s="1" t="s">
        <v>9</v>
      </c>
      <c r="H13" s="1" t="s">
        <v>10</v>
      </c>
      <c r="I13" s="1" t="s">
        <v>11</v>
      </c>
      <c r="J13" s="1" t="s">
        <v>12</v>
      </c>
      <c r="K13" s="1" t="s">
        <v>13</v>
      </c>
      <c r="L13" s="1" t="s">
        <v>14</v>
      </c>
      <c r="M13" s="1" t="s">
        <v>19</v>
      </c>
    </row>
    <row r="14" spans="1:24" x14ac:dyDescent="0.35">
      <c r="A14" s="2" t="s">
        <v>15</v>
      </c>
      <c r="B14" s="2">
        <v>2.85</v>
      </c>
      <c r="C14" s="2">
        <v>2.2999999999999998</v>
      </c>
      <c r="D14" s="7">
        <v>2021</v>
      </c>
      <c r="E14" s="7" cm="1">
        <f t="array" ref="E14">SQRT(SUM((B14:B21-C14:C21)^2)/COUNT(B14:B21))</f>
        <v>0.36510272527057375</v>
      </c>
      <c r="F14" s="10">
        <f>PEARSON(B14:B21,C14:C21)</f>
        <v>0.95843638609488535</v>
      </c>
      <c r="G14" s="10">
        <f>COUNT(B14:B21)</f>
        <v>8</v>
      </c>
      <c r="H14" s="10">
        <f>(ABS(F14)*SQRT(G14-2))/(SQRT(1-F14^2))</f>
        <v>8.2286299573899697</v>
      </c>
      <c r="I14" s="10">
        <f>(G14-2)</f>
        <v>6</v>
      </c>
      <c r="J14" s="10">
        <f>TDIST(H14,I14,2)</f>
        <v>1.7395720532483618E-4</v>
      </c>
      <c r="K14" s="10">
        <v>0.05</v>
      </c>
      <c r="L14" s="10">
        <f>_xlfn.T.INV.2T(K14,I14)</f>
        <v>2.4469118511449697</v>
      </c>
      <c r="M14" s="6" t="s">
        <v>29</v>
      </c>
      <c r="W14">
        <v>0</v>
      </c>
      <c r="X14">
        <v>0</v>
      </c>
    </row>
    <row r="15" spans="1:24" x14ac:dyDescent="0.35">
      <c r="A15" s="2" t="s">
        <v>16</v>
      </c>
      <c r="B15" s="2">
        <v>3.35</v>
      </c>
      <c r="C15" s="2">
        <v>3.1</v>
      </c>
      <c r="D15" s="8"/>
      <c r="E15" s="8"/>
      <c r="F15" s="10"/>
      <c r="G15" s="10"/>
      <c r="H15" s="10"/>
      <c r="I15" s="10"/>
      <c r="J15" s="10"/>
      <c r="K15" s="10"/>
      <c r="L15" s="10"/>
      <c r="M15" s="6"/>
      <c r="W15">
        <f>MAX(B14:B21)</f>
        <v>5</v>
      </c>
      <c r="X15">
        <f>MAX(C14:C21)</f>
        <v>5.0999999999999996</v>
      </c>
    </row>
    <row r="16" spans="1:24" x14ac:dyDescent="0.35">
      <c r="A16" s="2" t="s">
        <v>17</v>
      </c>
      <c r="B16" s="2">
        <v>3.3</v>
      </c>
      <c r="C16" s="2">
        <v>3.05</v>
      </c>
      <c r="D16" s="8"/>
      <c r="E16" s="8"/>
      <c r="F16" s="10"/>
      <c r="G16" s="10"/>
      <c r="H16" s="10"/>
      <c r="I16" s="10"/>
      <c r="J16" s="10"/>
      <c r="K16" s="10"/>
      <c r="L16" s="10"/>
      <c r="M16" s="6"/>
    </row>
    <row r="17" spans="1:24" x14ac:dyDescent="0.35">
      <c r="A17" s="2" t="s">
        <v>18</v>
      </c>
      <c r="B17" s="2">
        <v>4.5</v>
      </c>
      <c r="C17" s="2">
        <v>5</v>
      </c>
      <c r="D17" s="9"/>
      <c r="E17" s="8"/>
      <c r="F17" s="10"/>
      <c r="G17" s="10"/>
      <c r="H17" s="10"/>
      <c r="I17" s="10"/>
      <c r="J17" s="10"/>
      <c r="K17" s="10"/>
      <c r="L17" s="10"/>
      <c r="M17" s="6"/>
    </row>
    <row r="18" spans="1:24" x14ac:dyDescent="0.35">
      <c r="A18" s="2" t="s">
        <v>15</v>
      </c>
      <c r="B18" s="2">
        <v>3.5</v>
      </c>
      <c r="C18" s="2">
        <v>4</v>
      </c>
      <c r="D18" s="7">
        <v>2022</v>
      </c>
      <c r="E18" s="8"/>
      <c r="F18" s="10"/>
      <c r="G18" s="10"/>
      <c r="H18" s="10"/>
      <c r="I18" s="10"/>
      <c r="J18" s="10"/>
      <c r="K18" s="10"/>
      <c r="L18" s="10"/>
      <c r="M18" s="6" t="s">
        <v>30</v>
      </c>
    </row>
    <row r="19" spans="1:24" x14ac:dyDescent="0.35">
      <c r="A19" s="2" t="s">
        <v>16</v>
      </c>
      <c r="B19" s="2">
        <v>0.75</v>
      </c>
      <c r="C19" s="2">
        <v>1.1000000000000001</v>
      </c>
      <c r="D19" s="8"/>
      <c r="E19" s="8"/>
      <c r="F19" s="10"/>
      <c r="G19" s="10"/>
      <c r="H19" s="10"/>
      <c r="I19" s="10"/>
      <c r="J19" s="10"/>
      <c r="K19" s="10"/>
      <c r="L19" s="10"/>
      <c r="M19" s="6"/>
    </row>
    <row r="20" spans="1:24" x14ac:dyDescent="0.35">
      <c r="A20" s="2" t="s">
        <v>17</v>
      </c>
      <c r="B20" s="2">
        <v>3.75</v>
      </c>
      <c r="C20" s="2">
        <v>3.83</v>
      </c>
      <c r="D20" s="8"/>
      <c r="E20" s="8"/>
      <c r="F20" s="10"/>
      <c r="G20" s="10"/>
      <c r="H20" s="10"/>
      <c r="I20" s="10"/>
      <c r="J20" s="10"/>
      <c r="K20" s="10"/>
      <c r="L20" s="10"/>
      <c r="M20" s="6"/>
    </row>
    <row r="21" spans="1:24" x14ac:dyDescent="0.35">
      <c r="A21" s="2" t="s">
        <v>18</v>
      </c>
      <c r="B21" s="2">
        <v>5</v>
      </c>
      <c r="C21" s="2">
        <v>5.0999999999999996</v>
      </c>
      <c r="D21" s="9"/>
      <c r="E21" s="9"/>
      <c r="F21" s="10"/>
      <c r="G21" s="10"/>
      <c r="H21" s="10"/>
      <c r="I21" s="10"/>
      <c r="J21" s="10"/>
      <c r="K21" s="10"/>
      <c r="L21" s="10"/>
      <c r="M21" s="6"/>
    </row>
    <row r="24" spans="1:24" ht="39" x14ac:dyDescent="0.35">
      <c r="A24" s="2" t="s">
        <v>1</v>
      </c>
      <c r="B24" s="2" t="s">
        <v>22</v>
      </c>
      <c r="C24" s="2" t="s">
        <v>23</v>
      </c>
      <c r="D24" s="2" t="s">
        <v>0</v>
      </c>
      <c r="E24" s="2" t="s">
        <v>28</v>
      </c>
      <c r="F24" s="1" t="s">
        <v>8</v>
      </c>
      <c r="G24" s="1" t="s">
        <v>9</v>
      </c>
      <c r="H24" s="1" t="s">
        <v>10</v>
      </c>
      <c r="I24" s="1" t="s">
        <v>11</v>
      </c>
      <c r="J24" s="1" t="s">
        <v>12</v>
      </c>
      <c r="K24" s="1" t="s">
        <v>13</v>
      </c>
      <c r="L24" s="1" t="s">
        <v>14</v>
      </c>
      <c r="M24" s="1" t="s">
        <v>19</v>
      </c>
    </row>
    <row r="25" spans="1:24" x14ac:dyDescent="0.35">
      <c r="A25" s="2" t="s">
        <v>15</v>
      </c>
      <c r="B25" s="2">
        <v>2.5</v>
      </c>
      <c r="C25" s="2">
        <v>2.15</v>
      </c>
      <c r="D25" s="7">
        <v>2021</v>
      </c>
      <c r="E25" s="7" cm="1">
        <f t="array" ref="E25">SQRT(SUM((B25:B32-C25:C32)^2)/COUNT(B25:B32))</f>
        <v>0.63185243530432011</v>
      </c>
      <c r="F25" s="10">
        <f>PEARSON(B25:B32,C25:C32)</f>
        <v>0.89402481512457344</v>
      </c>
      <c r="G25" s="10">
        <f>COUNT(B25:B32)</f>
        <v>8</v>
      </c>
      <c r="H25" s="10">
        <f>(ABS(F25)*SQRT(G25-2))/(SQRT(1-F25^2))</f>
        <v>4.8879896191283176</v>
      </c>
      <c r="I25" s="10">
        <f>(G25-2)</f>
        <v>6</v>
      </c>
      <c r="J25" s="10">
        <f>TDIST(H25,I25,2)</f>
        <v>2.743968949786194E-3</v>
      </c>
      <c r="K25" s="10">
        <v>0.05</v>
      </c>
      <c r="L25" s="10">
        <f>_xlfn.T.INV.2T(K25,I25)</f>
        <v>2.4469118511449697</v>
      </c>
      <c r="M25" s="6" t="s">
        <v>29</v>
      </c>
      <c r="W25">
        <v>0</v>
      </c>
      <c r="X25">
        <v>0</v>
      </c>
    </row>
    <row r="26" spans="1:24" x14ac:dyDescent="0.35">
      <c r="A26" s="2" t="s">
        <v>16</v>
      </c>
      <c r="B26" s="2">
        <v>3.2</v>
      </c>
      <c r="C26" s="2">
        <v>2.85</v>
      </c>
      <c r="D26" s="8"/>
      <c r="E26" s="8"/>
      <c r="F26" s="10"/>
      <c r="G26" s="10"/>
      <c r="H26" s="10"/>
      <c r="I26" s="10"/>
      <c r="J26" s="10"/>
      <c r="K26" s="10"/>
      <c r="L26" s="10"/>
      <c r="M26" s="6"/>
      <c r="W26">
        <f>MAX(B25:B32)</f>
        <v>3.7</v>
      </c>
      <c r="X26">
        <f>MAX(C25:C32)</f>
        <v>4.5999999999999996</v>
      </c>
    </row>
    <row r="27" spans="1:24" x14ac:dyDescent="0.35">
      <c r="A27" s="2" t="s">
        <v>17</v>
      </c>
      <c r="B27" s="2">
        <v>2.2999999999999998</v>
      </c>
      <c r="C27" s="2">
        <v>2.72</v>
      </c>
      <c r="D27" s="8"/>
      <c r="E27" s="8"/>
      <c r="F27" s="10"/>
      <c r="G27" s="10"/>
      <c r="H27" s="10"/>
      <c r="I27" s="10"/>
      <c r="J27" s="10"/>
      <c r="K27" s="10"/>
      <c r="L27" s="10"/>
      <c r="M27" s="6"/>
    </row>
    <row r="28" spans="1:24" x14ac:dyDescent="0.35">
      <c r="A28" s="2" t="s">
        <v>18</v>
      </c>
      <c r="B28" s="2">
        <v>3.5</v>
      </c>
      <c r="C28" s="2">
        <v>4.4000000000000004</v>
      </c>
      <c r="D28" s="9"/>
      <c r="E28" s="8"/>
      <c r="F28" s="10"/>
      <c r="G28" s="10"/>
      <c r="H28" s="10"/>
      <c r="I28" s="10"/>
      <c r="J28" s="10"/>
      <c r="K28" s="10"/>
      <c r="L28" s="10"/>
      <c r="M28" s="6"/>
    </row>
    <row r="29" spans="1:24" x14ac:dyDescent="0.35">
      <c r="A29" s="2" t="s">
        <v>15</v>
      </c>
      <c r="B29" s="2">
        <v>3</v>
      </c>
      <c r="C29" s="2">
        <v>4</v>
      </c>
      <c r="D29" s="7">
        <v>2022</v>
      </c>
      <c r="E29" s="8"/>
      <c r="F29" s="10"/>
      <c r="G29" s="10"/>
      <c r="H29" s="10"/>
      <c r="I29" s="10"/>
      <c r="J29" s="10"/>
      <c r="K29" s="10"/>
      <c r="L29" s="10"/>
      <c r="M29" s="6" t="s">
        <v>30</v>
      </c>
    </row>
    <row r="30" spans="1:24" x14ac:dyDescent="0.35">
      <c r="A30" s="2" t="s">
        <v>16</v>
      </c>
      <c r="B30" s="2">
        <v>1</v>
      </c>
      <c r="C30" s="2">
        <v>1.3</v>
      </c>
      <c r="D30" s="8"/>
      <c r="E30" s="8"/>
      <c r="F30" s="10"/>
      <c r="G30" s="10"/>
      <c r="H30" s="10"/>
      <c r="I30" s="10"/>
      <c r="J30" s="10"/>
      <c r="K30" s="10"/>
      <c r="L30" s="10"/>
      <c r="M30" s="6"/>
    </row>
    <row r="31" spans="1:24" x14ac:dyDescent="0.35">
      <c r="A31" s="2" t="s">
        <v>17</v>
      </c>
      <c r="B31" s="2">
        <v>3.25</v>
      </c>
      <c r="C31" s="2">
        <v>3.5</v>
      </c>
      <c r="D31" s="8"/>
      <c r="E31" s="8"/>
      <c r="F31" s="10"/>
      <c r="G31" s="10"/>
      <c r="H31" s="10"/>
      <c r="I31" s="10"/>
      <c r="J31" s="10"/>
      <c r="K31" s="10"/>
      <c r="L31" s="10"/>
      <c r="M31" s="6"/>
    </row>
    <row r="32" spans="1:24" x14ac:dyDescent="0.35">
      <c r="A32" s="2" t="s">
        <v>18</v>
      </c>
      <c r="B32" s="2">
        <v>3.7</v>
      </c>
      <c r="C32" s="2">
        <v>4.5999999999999996</v>
      </c>
      <c r="D32" s="9"/>
      <c r="E32" s="9"/>
      <c r="F32" s="10"/>
      <c r="G32" s="10"/>
      <c r="H32" s="10"/>
      <c r="I32" s="10"/>
      <c r="J32" s="10"/>
      <c r="K32" s="10"/>
      <c r="L32" s="10"/>
      <c r="M32" s="6"/>
    </row>
    <row r="35" spans="1:13" x14ac:dyDescent="0.35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</row>
    <row r="36" spans="1:13" x14ac:dyDescent="0.35">
      <c r="A36" s="3"/>
      <c r="B36" s="3"/>
      <c r="C36" s="3"/>
      <c r="D36" s="3"/>
      <c r="E36" s="3"/>
      <c r="F36" s="12"/>
      <c r="G36" s="12"/>
      <c r="H36" s="12"/>
      <c r="I36" s="12"/>
      <c r="J36" s="12"/>
      <c r="K36" s="12"/>
      <c r="L36" s="12"/>
      <c r="M36" s="12"/>
    </row>
    <row r="37" spans="1:13" x14ac:dyDescent="0.35">
      <c r="A37" s="3"/>
      <c r="B37" s="3"/>
      <c r="C37" s="3"/>
      <c r="D37" s="3"/>
      <c r="E37" s="3"/>
      <c r="F37" s="12"/>
      <c r="G37" s="12"/>
      <c r="H37" s="12"/>
      <c r="I37" s="12"/>
      <c r="J37" s="12"/>
      <c r="K37" s="12"/>
      <c r="L37" s="12"/>
      <c r="M37" s="12"/>
    </row>
    <row r="38" spans="1:13" x14ac:dyDescent="0.35">
      <c r="A38" s="3"/>
      <c r="B38" s="3"/>
      <c r="C38" s="3"/>
      <c r="D38" s="3"/>
      <c r="E38" s="3"/>
      <c r="F38" s="12"/>
      <c r="G38" s="12"/>
      <c r="H38" s="12"/>
      <c r="I38" s="12"/>
      <c r="J38" s="12"/>
      <c r="K38" s="12"/>
      <c r="L38" s="12"/>
      <c r="M38" s="12"/>
    </row>
    <row r="39" spans="1:13" x14ac:dyDescent="0.35">
      <c r="A39" s="3"/>
      <c r="B39" s="3"/>
      <c r="C39" s="3"/>
      <c r="D39" s="3"/>
      <c r="E39" s="3"/>
      <c r="F39" s="12"/>
      <c r="G39" s="12"/>
      <c r="H39" s="12"/>
      <c r="I39" s="12"/>
      <c r="J39" s="12"/>
      <c r="K39" s="12"/>
      <c r="L39" s="12"/>
      <c r="M39" s="12"/>
    </row>
    <row r="40" spans="1:13" x14ac:dyDescent="0.35">
      <c r="A40" s="3"/>
      <c r="B40" s="3"/>
      <c r="C40" s="3"/>
      <c r="D40" s="3"/>
      <c r="E40" s="3"/>
      <c r="F40" s="12"/>
      <c r="G40" s="12"/>
      <c r="H40" s="12"/>
      <c r="I40" s="12"/>
      <c r="J40" s="12"/>
      <c r="K40" s="12"/>
      <c r="L40" s="12"/>
      <c r="M40" s="12"/>
    </row>
    <row r="41" spans="1:13" x14ac:dyDescent="0.35">
      <c r="A41" s="3"/>
      <c r="B41" s="3"/>
      <c r="C41" s="3"/>
      <c r="D41" s="3"/>
      <c r="E41" s="3"/>
      <c r="F41" s="12"/>
      <c r="G41" s="12"/>
      <c r="H41" s="12"/>
      <c r="I41" s="12"/>
      <c r="J41" s="12"/>
      <c r="K41" s="12"/>
      <c r="L41" s="12"/>
      <c r="M41" s="12"/>
    </row>
    <row r="42" spans="1:13" x14ac:dyDescent="0.35">
      <c r="A42" s="3"/>
      <c r="B42" s="3"/>
      <c r="C42" s="3"/>
      <c r="D42" s="3"/>
      <c r="E42" s="3"/>
      <c r="F42" s="12"/>
      <c r="G42" s="12"/>
      <c r="H42" s="12"/>
      <c r="I42" s="12"/>
      <c r="J42" s="12"/>
      <c r="K42" s="12"/>
      <c r="L42" s="12"/>
      <c r="M42" s="12"/>
    </row>
    <row r="43" spans="1:13" x14ac:dyDescent="0.35">
      <c r="A43" s="3"/>
      <c r="B43" s="3"/>
      <c r="C43" s="3"/>
      <c r="D43" s="3"/>
      <c r="E43" s="3"/>
      <c r="F43" s="12"/>
      <c r="G43" s="12"/>
      <c r="H43" s="12"/>
      <c r="I43" s="12"/>
      <c r="J43" s="12"/>
      <c r="K43" s="12"/>
      <c r="L43" s="12"/>
      <c r="M43" s="12"/>
    </row>
  </sheetData>
  <mergeCells count="44">
    <mergeCell ref="L3:L10"/>
    <mergeCell ref="H3:H10"/>
    <mergeCell ref="I3:I10"/>
    <mergeCell ref="K14:K21"/>
    <mergeCell ref="L14:L21"/>
    <mergeCell ref="J3:J10"/>
    <mergeCell ref="H14:H21"/>
    <mergeCell ref="I14:I21"/>
    <mergeCell ref="J14:J21"/>
    <mergeCell ref="M3:M6"/>
    <mergeCell ref="M7:M10"/>
    <mergeCell ref="M36:M43"/>
    <mergeCell ref="M14:M17"/>
    <mergeCell ref="M18:M21"/>
    <mergeCell ref="M25:M28"/>
    <mergeCell ref="M29:M32"/>
    <mergeCell ref="D3:D6"/>
    <mergeCell ref="D7:D10"/>
    <mergeCell ref="D14:D17"/>
    <mergeCell ref="D29:D32"/>
    <mergeCell ref="K25:K32"/>
    <mergeCell ref="D18:D21"/>
    <mergeCell ref="D25:D28"/>
    <mergeCell ref="E3:E10"/>
    <mergeCell ref="E14:E21"/>
    <mergeCell ref="E25:E32"/>
    <mergeCell ref="K3:K10"/>
    <mergeCell ref="F25:F32"/>
    <mergeCell ref="F14:F21"/>
    <mergeCell ref="G14:G21"/>
    <mergeCell ref="F3:F10"/>
    <mergeCell ref="G3:G10"/>
    <mergeCell ref="F36:F43"/>
    <mergeCell ref="G36:G43"/>
    <mergeCell ref="H36:H43"/>
    <mergeCell ref="I36:I43"/>
    <mergeCell ref="J36:J43"/>
    <mergeCell ref="K36:K43"/>
    <mergeCell ref="L36:L43"/>
    <mergeCell ref="G25:G32"/>
    <mergeCell ref="H25:H32"/>
    <mergeCell ref="I25:I32"/>
    <mergeCell ref="J25:J32"/>
    <mergeCell ref="L25:L3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 of regression models rural</vt:lpstr>
      <vt:lpstr>Val of regression models urban</vt:lpstr>
      <vt:lpstr>Val of HDM-4 model (GCF rural)</vt:lpstr>
      <vt:lpstr>Val of HDM-4 model (GCF urban)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Anand [MU - Jaipur]</dc:creator>
  <cp:lastModifiedBy>Sanchit Anand [MU - Jaipur]</cp:lastModifiedBy>
  <dcterms:created xsi:type="dcterms:W3CDTF">2015-06-05T18:17:20Z</dcterms:created>
  <dcterms:modified xsi:type="dcterms:W3CDTF">2025-11-15T06:48:59Z</dcterms:modified>
</cp:coreProperties>
</file>